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Qwader\docs\"/>
    </mc:Choice>
  </mc:AlternateContent>
  <xr:revisionPtr revIDLastSave="0" documentId="13_ncr:1_{4EE0F021-0AE3-402E-8E6E-B2BA44E31193}" xr6:coauthVersionLast="47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دليل الاستخدام" sheetId="1" r:id="rId1"/>
    <sheet name="حالات الاختبار" sheetId="2" r:id="rId2"/>
    <sheet name="الملخص" sheetId="3" r:id="rId3"/>
  </sheets>
  <definedNames>
    <definedName name="_xlnm._FilterDatabase" localSheetId="1" hidden="1">'حالات الاختبار'!$A$1:$N$150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3" l="1"/>
  <c r="D32" i="3"/>
  <c r="C32" i="3"/>
  <c r="B32" i="3"/>
  <c r="E31" i="3"/>
  <c r="D31" i="3"/>
  <c r="C31" i="3"/>
  <c r="B31" i="3"/>
  <c r="E30" i="3"/>
  <c r="D30" i="3"/>
  <c r="C30" i="3"/>
  <c r="B30" i="3"/>
  <c r="G24" i="3"/>
  <c r="E24" i="3"/>
  <c r="D24" i="3"/>
  <c r="C24" i="3"/>
  <c r="I24" i="3" s="1"/>
  <c r="B24" i="3"/>
  <c r="H24" i="3" s="1"/>
  <c r="I23" i="3"/>
  <c r="G23" i="3"/>
  <c r="E23" i="3"/>
  <c r="D23" i="3"/>
  <c r="C23" i="3"/>
  <c r="B23" i="3"/>
  <c r="H23" i="3" s="1"/>
  <c r="G22" i="3"/>
  <c r="E22" i="3"/>
  <c r="D22" i="3"/>
  <c r="C22" i="3"/>
  <c r="I22" i="3" s="1"/>
  <c r="B22" i="3"/>
  <c r="H22" i="3" s="1"/>
  <c r="G21" i="3"/>
  <c r="E21" i="3"/>
  <c r="D21" i="3"/>
  <c r="C21" i="3"/>
  <c r="I21" i="3" s="1"/>
  <c r="B21" i="3"/>
  <c r="H21" i="3" s="1"/>
  <c r="G20" i="3"/>
  <c r="E20" i="3"/>
  <c r="D20" i="3"/>
  <c r="C20" i="3"/>
  <c r="I20" i="3" s="1"/>
  <c r="B20" i="3"/>
  <c r="G19" i="3"/>
  <c r="E19" i="3"/>
  <c r="D19" i="3"/>
  <c r="C19" i="3"/>
  <c r="I19" i="3" s="1"/>
  <c r="B19" i="3"/>
  <c r="H19" i="3" s="1"/>
  <c r="G18" i="3"/>
  <c r="E18" i="3"/>
  <c r="D18" i="3"/>
  <c r="C18" i="3"/>
  <c r="I18" i="3" s="1"/>
  <c r="B18" i="3"/>
  <c r="H18" i="3" s="1"/>
  <c r="G17" i="3"/>
  <c r="E17" i="3"/>
  <c r="D17" i="3"/>
  <c r="C17" i="3"/>
  <c r="I17" i="3" s="1"/>
  <c r="B17" i="3"/>
  <c r="H17" i="3" s="1"/>
  <c r="G16" i="3"/>
  <c r="E16" i="3"/>
  <c r="D16" i="3"/>
  <c r="C16" i="3"/>
  <c r="I16" i="3" s="1"/>
  <c r="B16" i="3"/>
  <c r="G15" i="3"/>
  <c r="E15" i="3"/>
  <c r="D15" i="3"/>
  <c r="C15" i="3"/>
  <c r="I15" i="3" s="1"/>
  <c r="B15" i="3"/>
  <c r="F15" i="3" s="1"/>
  <c r="G14" i="3"/>
  <c r="E14" i="3"/>
  <c r="D14" i="3"/>
  <c r="C14" i="3"/>
  <c r="I14" i="3" s="1"/>
  <c r="B14" i="3"/>
  <c r="H14" i="3" s="1"/>
  <c r="G13" i="3"/>
  <c r="E13" i="3"/>
  <c r="D13" i="3"/>
  <c r="C13" i="3"/>
  <c r="I13" i="3" s="1"/>
  <c r="B13" i="3"/>
  <c r="G12" i="3"/>
  <c r="E12" i="3"/>
  <c r="D12" i="3"/>
  <c r="C12" i="3"/>
  <c r="I12" i="3" s="1"/>
  <c r="B12" i="3"/>
  <c r="H12" i="3" s="1"/>
  <c r="G11" i="3"/>
  <c r="E11" i="3"/>
  <c r="D11" i="3"/>
  <c r="C11" i="3"/>
  <c r="I11" i="3" s="1"/>
  <c r="B11" i="3"/>
  <c r="H11" i="3" s="1"/>
  <c r="G10" i="3"/>
  <c r="E10" i="3"/>
  <c r="D10" i="3"/>
  <c r="C10" i="3"/>
  <c r="I10" i="3" s="1"/>
  <c r="B10" i="3"/>
  <c r="F10" i="3" s="1"/>
  <c r="I9" i="3"/>
  <c r="G9" i="3"/>
  <c r="E9" i="3"/>
  <c r="D9" i="3"/>
  <c r="C9" i="3"/>
  <c r="B9" i="3"/>
  <c r="H9" i="3" s="1"/>
  <c r="G8" i="3"/>
  <c r="E8" i="3"/>
  <c r="D8" i="3"/>
  <c r="C8" i="3"/>
  <c r="I8" i="3" s="1"/>
  <c r="B8" i="3"/>
  <c r="H8" i="3" s="1"/>
  <c r="G7" i="3"/>
  <c r="E7" i="3"/>
  <c r="D7" i="3"/>
  <c r="C7" i="3"/>
  <c r="I7" i="3" s="1"/>
  <c r="B7" i="3"/>
  <c r="H7" i="3" s="1"/>
  <c r="G6" i="3"/>
  <c r="G25" i="3" s="1"/>
  <c r="E6" i="3"/>
  <c r="D6" i="3"/>
  <c r="C6" i="3"/>
  <c r="I6" i="3" s="1"/>
  <c r="B6" i="3"/>
  <c r="G5" i="3"/>
  <c r="E5" i="3"/>
  <c r="D5" i="3"/>
  <c r="C5" i="3"/>
  <c r="B5" i="3"/>
  <c r="F5" i="3" s="1"/>
  <c r="F6" i="3" l="1"/>
  <c r="F11" i="3"/>
  <c r="C25" i="3"/>
  <c r="D25" i="3"/>
  <c r="E25" i="3"/>
  <c r="H16" i="3"/>
  <c r="I5" i="3"/>
  <c r="H6" i="3"/>
  <c r="H13" i="3"/>
  <c r="H20" i="3"/>
  <c r="F22" i="3"/>
  <c r="B25" i="3"/>
  <c r="F7" i="3"/>
  <c r="F12" i="3"/>
  <c r="F17" i="3"/>
  <c r="F20" i="3"/>
  <c r="H5" i="3"/>
  <c r="H10" i="3"/>
  <c r="H15" i="3"/>
  <c r="F9" i="3"/>
  <c r="F14" i="3"/>
  <c r="F8" i="3"/>
  <c r="F13" i="3"/>
  <c r="F18" i="3"/>
  <c r="F23" i="3"/>
  <c r="F16" i="3"/>
  <c r="F21" i="3"/>
  <c r="F19" i="3"/>
  <c r="F24" i="3"/>
  <c r="F25" i="3" l="1"/>
  <c r="H25" i="3"/>
  <c r="I25" i="3"/>
</calcChain>
</file>

<file path=xl/sharedStrings.xml><?xml version="1.0" encoding="utf-8"?>
<sst xmlns="http://schemas.openxmlformats.org/spreadsheetml/2006/main" count="2055" uniqueCount="980">
  <si>
    <t>رقم الحالة</t>
  </si>
  <si>
    <t>القسم</t>
  </si>
  <si>
    <t>السيناريو</t>
  </si>
  <si>
    <t>الدور</t>
  </si>
  <si>
    <t>المتطلبات المسبقة</t>
  </si>
  <si>
    <t>خطوات التنفيذ</t>
  </si>
  <si>
    <t>النتيجة المتوقعة</t>
  </si>
  <si>
    <t>الأولوية</t>
  </si>
  <si>
    <t>مغطى آليًا</t>
  </si>
  <si>
    <t>الاختبار الآلي</t>
  </si>
  <si>
    <t>النتيجة</t>
  </si>
  <si>
    <t>النتيجة الفعلية / الملاحظات</t>
  </si>
  <si>
    <t>المُختبِر</t>
  </si>
  <si>
    <t>تاريخ الاختبار</t>
  </si>
  <si>
    <t>AUTH-01</t>
  </si>
  <si>
    <t>تسجيل الدخول والحساب</t>
  </si>
  <si>
    <t>دخول ناجح ببيانات صحيحة</t>
  </si>
  <si>
    <t>أي مستخدم</t>
  </si>
  <si>
    <t>مستخدم فعّال</t>
  </si>
  <si>
    <t>1. افتح صفحة الدخول
2. اكتب اسم المستخدم وكلمة المرور الصحيحة
3. اضغط «دخول»</t>
  </si>
  <si>
    <t>تفتح لوحة التحكم ويظهر اسم المستخدم أعلى الصفحة</t>
  </si>
  <si>
    <t>عالية</t>
  </si>
  <si>
    <t>نعم</t>
  </si>
  <si>
    <t>Login_with_valid_credentials_returns_token_and_all_admin_permissions</t>
  </si>
  <si>
    <t>نجح</t>
  </si>
  <si>
    <t>مطابق للمتوقع</t>
  </si>
  <si>
    <t>Claude (اختبار آلي للشاشات)</t>
  </si>
  <si>
    <t>AUTH-02</t>
  </si>
  <si>
    <t>دخول بكلمة مرور خاطئة</t>
  </si>
  <si>
    <t>—</t>
  </si>
  <si>
    <t>1. اكتب اسم مستخدم صحيح وكلمة مرور خاطئة
2. اضغط «دخول»</t>
  </si>
  <si>
    <t>رسالة عربية «اسم المستخدم أو كلمة المرور غير صحيحة» ولا يتم الدخول</t>
  </si>
  <si>
    <t>Login_with_wrong_password_is_rejected_with_arabic_message</t>
  </si>
  <si>
    <t>AUTH-03</t>
  </si>
  <si>
    <t>قفل مؤقت بعد 5 محاولات خاطئة</t>
  </si>
  <si>
    <t>حساب تجريبي (ليس حساب المدير الأساسي)</t>
  </si>
  <si>
    <t>1. أدخل كلمة مرور خاطئة 5 مرات متتالية
2. حاول مرة سادسة بكلمة المرور الصحيحة</t>
  </si>
  <si>
    <t>رسالة «تم إيقاف الدخول مؤقتًا…» ثم يسمح بالدخول بعد بضع دقائق</t>
  </si>
  <si>
    <t>متوسطة</t>
  </si>
  <si>
    <t>Five_wrong_passwords_lock_the_account_even_for_the_right_one</t>
  </si>
  <si>
    <t>بعد 5 محاولات خاطئة رُفضت كلمة المرور الصحيحة برسالة الإيقاف المؤقت</t>
  </si>
  <si>
    <t>AUTH-04</t>
  </si>
  <si>
    <t>مستخدم جديد يُجبر على تغيير كلمة المرور</t>
  </si>
  <si>
    <t>مستخدم أنشأه المدير الآن</t>
  </si>
  <si>
    <t>1. ادخل بكلمة المرور المؤقتة
2. حاول فتح أي صفحة</t>
  </si>
  <si>
    <t>يُحوَّل إلى صفحة تغيير كلمة المرور ولا يستطيع استخدام النظام قبل تغييرها</t>
  </si>
  <si>
    <t>New_user_must_change_password_before_using_the_api</t>
  </si>
  <si>
    <t>AUTH-05</t>
  </si>
  <si>
    <t>تغيير كلمة المرور بكلمة حالية خاطئة</t>
  </si>
  <si>
    <t>مسجّل دخول</t>
  </si>
  <si>
    <t>1. الحساب الشخصي ← تغيير كلمة المرور
2. اكتب كلمة حالية خاطئة وكلمة جديدة
3. احفظ</t>
  </si>
  <si>
    <t>خطأ تحت حقل «كلمة المرور الحالية» ولا تتغير</t>
  </si>
  <si>
    <t>Change_password_validation_errors_are_keyed_by_camel_case_field</t>
  </si>
  <si>
    <t>AUTH-06</t>
  </si>
  <si>
    <t>تغيير كلمة المرور بنجاح</t>
  </si>
  <si>
    <t>1. غيّر كلمة المرور بشكل صحيح
2. سجّل خروج
3. ادخل بالكلمة الجديدة</t>
  </si>
  <si>
    <t>الدخول بالكلمة الجديدة يعمل والقديمة لا تعمل</t>
  </si>
  <si>
    <t>After_changing_the_password_only_the_new_one_works</t>
  </si>
  <si>
    <t>خطأ اكتُشف وأُصلح: بعد تغيير كلمة المرور الإجبارية كان الموظف يرجع لصفحة تغيير كلمة المرور كأن التغيير فشل. الآن يدخل للوحة التحكم.</t>
  </si>
  <si>
    <t>AUTH-07</t>
  </si>
  <si>
    <t>الجلسة تبقى بعد إغلاق التطبيق وفتحه</t>
  </si>
  <si>
    <t>1. أغلق التطبيق/المتصفح
2. افتحه بعد 30 دقيقة</t>
  </si>
  <si>
    <t>يفتح مباشرة دون طلب دخول</t>
  </si>
  <si>
    <t>Refresh_rotates_the_cookie_and_issues_a_working_token</t>
  </si>
  <si>
    <t>فُتح التطبيق من جديد بدون طلب دخول</t>
  </si>
  <si>
    <t>AUTH-08</t>
  </si>
  <si>
    <t>تسجيل الخروج</t>
  </si>
  <si>
    <t>1. الحساب الشخصي ← تسجيل الخروج
2. اضغط زر الرجوع في المتصفح</t>
  </si>
  <si>
    <t>تظهر صفحة الدخول ولا يمكن الرجوع للبيانات</t>
  </si>
  <si>
    <t>Logout_revokes_the_refresh_token</t>
  </si>
  <si>
    <t>AUTH-09</t>
  </si>
  <si>
    <t>مستخدم معطّل لا يستطيع الدخول</t>
  </si>
  <si>
    <t>عطّل مستخدمًا من شاشة المستخدمين</t>
  </si>
  <si>
    <t>1. حاول الدخول بحساب المستخدم المعطّل</t>
  </si>
  <si>
    <t>يُرفض الدخول</t>
  </si>
  <si>
    <t>A_deactivated_user_cannot_sign_in</t>
  </si>
  <si>
    <t>AUTH-10</t>
  </si>
  <si>
    <t>إظهار/إخفاء كلمة المرور</t>
  </si>
  <si>
    <t>1. اكتب كلمة المرور
2. اضغط أيقونة العين</t>
  </si>
  <si>
    <t>تظهر الكلمة ثم تختفي عند الضغط مرة أخرى</t>
  </si>
  <si>
    <t>منخفضة</t>
  </si>
  <si>
    <t>لا</t>
  </si>
  <si>
    <t>USR-01</t>
  </si>
  <si>
    <t>المستخدمون والأدوار والصلاحيات</t>
  </si>
  <si>
    <t>إضافة مستخدم بدور «موظف مبيعات»</t>
  </si>
  <si>
    <t>مدير النظام</t>
  </si>
  <si>
    <t>1. المستخدمون ← إضافة
2. الاسم، اسم المستخدم، كلمة مرور مؤقتة، الدور
3. احفظ</t>
  </si>
  <si>
    <t>يظهر المستخدم في القائمة ويستطيع الدخول</t>
  </si>
  <si>
    <t>USR-02</t>
  </si>
  <si>
    <t>اسم مستخدم مكرر</t>
  </si>
  <si>
    <t>يوجد مستخدم باسم ahmad</t>
  </si>
  <si>
    <t>1. أضف مستخدمًا جديدًا بنفس اسم المستخدم</t>
  </si>
  <si>
    <t>خطأ تحت حقل اسم المستخدم «مستخدم مسبقًا» ولا يُنشأ</t>
  </si>
  <si>
    <t>Duplicate_username_is_reported_on_the_username_field</t>
  </si>
  <si>
    <t>USR-03</t>
  </si>
  <si>
    <t>المدير لا يستطيع تعطيل حسابه</t>
  </si>
  <si>
    <t>1. افتح حسابك في المستخدمين
2. ألغِ «فعّال» واحفظ</t>
  </si>
  <si>
    <t>رسالة رفض ويبقى الحساب فعّالًا</t>
  </si>
  <si>
    <t>Administrator_cannot_deactivate_own_account</t>
  </si>
  <si>
    <t>رُفض (422): "لا يمكنك إزالة صلاحية مدير النظام عن حسابك أو تعطيله"</t>
  </si>
  <si>
    <t>USR-04</t>
  </si>
  <si>
    <t>إعادة تعيين كلمة مرور موظف</t>
  </si>
  <si>
    <t>موظف موجود</t>
  </si>
  <si>
    <t>1. افتح الموظف ← إعادة تعيين كلمة المرور
2. ادخل بحساب الموظف بالكلمة الجديدة</t>
  </si>
  <si>
    <t>يدخل ويُطلب منه تغييرها</t>
  </si>
  <si>
    <t>USR-05</t>
  </si>
  <si>
    <t>تعديل صلاحيات دور</t>
  </si>
  <si>
    <t>دور مخصص</t>
  </si>
  <si>
    <t>1. الأدوار ← اختر الدور
2. أضف صلاحية «عرض فواتير جميع الموظفين»
3. احفظ وادخل بموظف على هذا الدور</t>
  </si>
  <si>
    <t>يرى الموظف فواتير الجميع بعد الدخول من جديد</t>
  </si>
  <si>
    <t>A_permission_added_to_a_role_applies_from_the_next_sign_in</t>
  </si>
  <si>
    <t>USR-06</t>
  </si>
  <si>
    <t>لا يمكن إنقاص صلاحيات دور مدير النظام</t>
  </si>
  <si>
    <t>1. افتح دور «مدير النظام»
2. أزل أي صلاحية واحفظ</t>
  </si>
  <si>
    <t>رسالة رفض وتبقى الصلاحيات كاملة</t>
  </si>
  <si>
    <t>Administrator_role_permissions_cannot_be_reduced</t>
  </si>
  <si>
    <t>رُفض (422)</t>
  </si>
  <si>
    <t>USR-07</t>
  </si>
  <si>
    <t>موظف المبيعات لا يرى إدارة المستخدمين والإعدادات</t>
  </si>
  <si>
    <t>موظف مبيعات</t>
  </si>
  <si>
    <t>1. ادخل بحساب موظف مبيعات
2. افتح القائمة «المزيد»</t>
  </si>
  <si>
    <t>لا تظهر المستخدمون ولا الإعدادات، والرابط المباشر يعطي «لا صلاحية»</t>
  </si>
  <si>
    <t>Sales_role_cannot_manage_users_or_settings_but_can_read_store_settings</t>
  </si>
  <si>
    <t>USR-08</t>
  </si>
  <si>
    <t>موظف المبيعات لا يرى التكلفة والأرباح</t>
  </si>
  <si>
    <t>1. افتح منتجًا
2. افتح فاتورة بيع</t>
  </si>
  <si>
    <t>لا يظهر سعر الشراء ولا الربح</t>
  </si>
  <si>
    <t>Sales_role_sees_no_costs_and_cannot_change_products</t>
  </si>
  <si>
    <t>USR-09</t>
  </si>
  <si>
    <t>البيع بالجملة لمدير النظام ومدير المعرض فقط</t>
  </si>
  <si>
    <t>1. ادخل بموظف مبيعات ← نقطة البيع</t>
  </si>
  <si>
    <t>لا يظهر خيار «جملة»، وعند مدير المعرض يظهر</t>
  </si>
  <si>
    <t>Only_roles_with_the_wholesale_permission_can_sell_at_wholesale</t>
  </si>
  <si>
    <t>USR-10</t>
  </si>
  <si>
    <t>المشاهد لا يستطيع إنشاء أي مستند</t>
  </si>
  <si>
    <t>مشاهد</t>
  </si>
  <si>
    <t>1. ادخل بدور مشاهد
2. حاول البيع أو إضافة منتج</t>
  </si>
  <si>
    <t>الأزرار غير ظاهرة أو تعطي «لا صلاحية»</t>
  </si>
  <si>
    <t>SET-01</t>
  </si>
  <si>
    <t>الإعدادات وسجل العمليات والتصفير</t>
  </si>
  <si>
    <t>تعديل بيانات المعرض تظهر على الفواتير</t>
  </si>
  <si>
    <t>1. الإعدادات ← غيّر الهاتف والعنوان ونص أسفل الفاتورة
2. احفظ
3. اطبع أي فاتورة</t>
  </si>
  <si>
    <t>تظهر البيانات الجديدة في رأس وأسفل الفاتورة</t>
  </si>
  <si>
    <t>Updating_settings_persists_and_writes_an_audit_entry</t>
  </si>
  <si>
    <t>SET-02</t>
  </si>
  <si>
    <t>حد أقصى للخصم</t>
  </si>
  <si>
    <t>أقصى خصم 10%</t>
  </si>
  <si>
    <t>1. ادخل بموظف مبيعات
2. اعمل خصم 12% على فاتورة</t>
  </si>
  <si>
    <t>تُرفض الفاتورة برسالة توضح الحد</t>
  </si>
  <si>
    <t>Sales_role_cannot_go_below_minimum_price_or_beyond_the_discount_limit</t>
  </si>
  <si>
    <t>رُفض خصم 12.5%: الخصم (12.5%) يتجاوز الحد المسموح (10%)</t>
  </si>
  <si>
    <t>SET-03</t>
  </si>
  <si>
    <t>الحوالات عند البيع: بانتظار التحقق</t>
  </si>
  <si>
    <t>الإعداد = بانتظار التحقق</t>
  </si>
  <si>
    <t>1. بِع بحوالة جوال بي لعميل باسمه</t>
  </si>
  <si>
    <t>تُنشأ حوالة «بانتظار التحقق» والفاتورة «آجل» حتى التأكيد</t>
  </si>
  <si>
    <t>By_default_a_till_transfer_waits_for_verification_and_needs_a_named_customer</t>
  </si>
  <si>
    <t>INV-2026-000001 آجل + TR-2026-000001 بانتظار التحقق</t>
  </si>
  <si>
    <t>SET-04</t>
  </si>
  <si>
    <t>الحوالات عند البيع: مؤكدة مباشرة</t>
  </si>
  <si>
    <t>الإعداد = مؤكدة مباشرة</t>
  </si>
  <si>
    <t>1. بِع بحوالة بنك</t>
  </si>
  <si>
    <t>الفاتورة «مدفوعة» فورًا والحوالة تظهر «مؤكدة» ورصيد البنك يزيد</t>
  </si>
  <si>
    <t>Payment_can_be_split_across_accounts</t>
  </si>
  <si>
    <t>SET-05</t>
  </si>
  <si>
    <t>سجل العمليات يسجل التعديلات</t>
  </si>
  <si>
    <t>1. عدّل سعر منتج
2. افتح سجل العمليات</t>
  </si>
  <si>
    <t>يظهر «تعديل أسعار منتج» مع الاسم والوقت والقيم القديمة والجديدة</t>
  </si>
  <si>
    <t>A_price_change_is_kept_in_the_audit_log</t>
  </si>
  <si>
    <t>SET-06</t>
  </si>
  <si>
    <t>تصفير: الزر لمدير النظام فقط</t>
  </si>
  <si>
    <t>مدير المعرض</t>
  </si>
  <si>
    <t>1. ادخل بمدير المعرض ← الإعدادات</t>
  </si>
  <si>
    <t>لا يظهر قسم «تصفير النظام»</t>
  </si>
  <si>
    <t>Only_the_system_administrator_can_reset_the_system</t>
  </si>
  <si>
    <t>SET-07</t>
  </si>
  <si>
    <t>تصفير: كلمة مرور خاطئة</t>
  </si>
  <si>
    <t>1. تصفير النظام ← اكتب «تصفير» وكلمة مرور خاطئة</t>
  </si>
  <si>
    <t>رسالة «كلمة المرور غير صحيحة» ولا يُمسح شيء</t>
  </si>
  <si>
    <t>Reset_needs_the_admins_password</t>
  </si>
  <si>
    <t>SET-08</t>
  </si>
  <si>
    <t>تصفير: مسح الحركات فقط</t>
  </si>
  <si>
    <t>⚠ على نسخة تجريبية فقط</t>
  </si>
  <si>
    <t>1. اختر «مسح الحركات فقط» وأكّد</t>
  </si>
  <si>
    <t>تُمسح الفواتير والسندات، تبقى المنتجات والعملاء بكميات وأرصدة صفر، والترقيم يبدأ من 1</t>
  </si>
  <si>
    <t>Clearing_transactions_keeps_products_and_people_with_zero_stock_and_balances</t>
  </si>
  <si>
    <t>لا فواتير، المنتجات باقية بكمية 0</t>
  </si>
  <si>
    <t>SET-09</t>
  </si>
  <si>
    <t>تصفير: مسح كل شيء</t>
  </si>
  <si>
    <t>1. اختر «مسح كل شيء» وأكّد</t>
  </si>
  <si>
    <t>يبقى المستخدمون والإعدادات فقط، وتعود الحسابات الافتراضية، وأول منتج P-00001</t>
  </si>
  <si>
    <t>Clearing_everything_leaves_only_users_settings_and_reference_lists</t>
  </si>
  <si>
    <t>بقي المستخدمون والإعدادات، وعادت الحسابات، وأول منتج P-00001</t>
  </si>
  <si>
    <t>CAT-01</t>
  </si>
  <si>
    <t>الأصناف</t>
  </si>
  <si>
    <t>إضافة صنف</t>
  </si>
  <si>
    <t>أمين مخزن</t>
  </si>
  <si>
    <t>1. الأصناف ← إضافة
2. اكتب الاسم واحفظ</t>
  </si>
  <si>
    <t>يظهر الصنف بكود CAT- تلقائي</t>
  </si>
  <si>
    <t>كود CAT-00002</t>
  </si>
  <si>
    <t>CAT-02</t>
  </si>
  <si>
    <t>اسم صنف مكرر</t>
  </si>
  <si>
    <t>صنف «خلاطات» موجود</t>
  </si>
  <si>
    <t>1. أضف صنفًا باسم «خلاطات»</t>
  </si>
  <si>
    <t>رسالة خطأ ولا يُنشأ</t>
  </si>
  <si>
    <t>CAT-03</t>
  </si>
  <si>
    <t>البحث في قائمة الأصناف المنسدلة</t>
  </si>
  <si>
    <t>عدة أصناف</t>
  </si>
  <si>
    <t>1. إضافة منتج ← حقل الصنف
2. اكتب جزءًا من الاسم</t>
  </si>
  <si>
    <t>تظهر الأصناف المطابقة فقط</t>
  </si>
  <si>
    <t>CAT-04</t>
  </si>
  <si>
    <t>تعطيل صنف</t>
  </si>
  <si>
    <t>صنف بدون منتجات فعالة</t>
  </si>
  <si>
    <t>1. عطّل الصنف</t>
  </si>
  <si>
    <t>لا يظهر عند إضافة منتج جديد</t>
  </si>
  <si>
    <t>PRD-01</t>
  </si>
  <si>
    <t>المنتجات والباركود</t>
  </si>
  <si>
    <t>إضافة منتج كامل</t>
  </si>
  <si>
    <t>صنف ووحدة</t>
  </si>
  <si>
    <t>1. المنتجات ← إضافة
2. الاسم، الصنف، سعر الشراء، سعر البيع، الكمية الافتتاحية
3. احفظ</t>
  </si>
  <si>
    <t>يظهر بكود P- تلقائي والكمية في المخزون</t>
  </si>
  <si>
    <t>Product_code_is_generated_when_blank_and_duplicates_are_rejected</t>
  </si>
  <si>
    <t>P-00005 بكمية 6</t>
  </si>
  <si>
    <t>PRD-02</t>
  </si>
  <si>
    <t>الإضافة السريعة للمنتج</t>
  </si>
  <si>
    <t>1. استخدم نموذج الإضافة السريعة (الاسم + الصنف + السعر)</t>
  </si>
  <si>
    <t>يُضاف بأقل حقول ممكنة</t>
  </si>
  <si>
    <t>أُضيف بثلاث خانات فقط (الاسم، الصنف، السعر)</t>
  </si>
  <si>
    <t>PRD-03</t>
  </si>
  <si>
    <t>سعر البيع المقترح من نسبة الربح</t>
  </si>
  <si>
    <t>نسبة الربح المقترحة 30%</t>
  </si>
  <si>
    <t>1. اكتب سعر شراء 100</t>
  </si>
  <si>
    <t>يُقترح سعر بيع 130 مقرّب لنصف شيكل</t>
  </si>
  <si>
    <t>Suggested_price_applies_margin_and_rounds_up_to_half_shekel</t>
  </si>
  <si>
    <t>نسبة الربح الافتراضية 25% → مقترح 125</t>
  </si>
  <si>
    <t>PRD-04</t>
  </si>
  <si>
    <t>باركود مكرر</t>
  </si>
  <si>
    <t>منتج بباركود 6291234567890</t>
  </si>
  <si>
    <t>1. أضف منتجًا آخر بنفس الباركود</t>
  </si>
  <si>
    <t>رسالة «الباركود مستخدم» ولا يُحفظ</t>
  </si>
  <si>
    <t>A_barcode_belongs_to_one_product_only</t>
  </si>
  <si>
    <t>رُفض: "الباركود «6296673571234» مستخدم لمنتج آخر"</t>
  </si>
  <si>
    <t>PRD-05</t>
  </si>
  <si>
    <t>مسح الباركود بالكاميرا</t>
  </si>
  <si>
    <t>جوال بكاميرا وعلبة عليها باركود</t>
  </si>
  <si>
    <t>1. إضافة منتج ← زر الكاميرا بجانب الباركود
2. وجّه الكاميرا على الخطوط</t>
  </si>
  <si>
    <t>يُكتب الرقم في الحقل تلقائيًا</t>
  </si>
  <si>
    <t>محجوب</t>
  </si>
  <si>
    <t>يحتاج كاميرا جوال حقيقية وعلبة عليها باركود. زر الكاميرا موجود في النموذج ويعمل برمجيًا؛ جرّبه على جوالك.</t>
  </si>
  <si>
    <t>PRD-06</t>
  </si>
  <si>
    <t>رفع صورة منتج</t>
  </si>
  <si>
    <t>صورة JPG</t>
  </si>
  <si>
    <t>1. أضف صورة للمنتج واحفظ</t>
  </si>
  <si>
    <t>تظهر الصورة في القائمة ونقطة البيع</t>
  </si>
  <si>
    <t>Uploaded_png_is_served_back</t>
  </si>
  <si>
    <t>الصورة محفوظة وتظهر في قائمة المنتجات</t>
  </si>
  <si>
    <t>PRD-07</t>
  </si>
  <si>
    <t>رفض ملف ليس صورة</t>
  </si>
  <si>
    <t>ملف PDF أو نصي مُعاد تسميته .jpg</t>
  </si>
  <si>
    <t>1. حاول رفعه كصورة منتج</t>
  </si>
  <si>
    <t>رسالة رفض</t>
  </si>
  <si>
    <t>Upload_rejects_a_file_whose_content_is_not_an_image</t>
  </si>
  <si>
    <t>PRD-08</t>
  </si>
  <si>
    <t>استيراد منتجات من Excel</t>
  </si>
  <si>
    <t>ملف حسب القالب</t>
  </si>
  <si>
    <t>1. المنتجات ← استيراد Excel
2. اختر الملف</t>
  </si>
  <si>
    <t>تُضاف المنتجات بكمياتها الافتتاحية</t>
  </si>
  <si>
    <t>Excel_import_creates_products_with_opening_stock</t>
  </si>
  <si>
    <t>مغطى بالاختبار الآلي Excel_import_creates_products_with_opening_stock — ناجح</t>
  </si>
  <si>
    <t>PRD-09</t>
  </si>
  <si>
    <t>استيراد Excel فيه صف خاطئ</t>
  </si>
  <si>
    <t>ملف فيه صف بدون اسم</t>
  </si>
  <si>
    <t>1. استورد الملف</t>
  </si>
  <si>
    <t>لا يُستورد أي صف، وتظهر رسالة برقم الصف الخاطئ</t>
  </si>
  <si>
    <t>Excel_import_with_any_invalid_row_imports_nothing</t>
  </si>
  <si>
    <t>مغطى بالاختبار الآلي Excel_import_with_any_invalid_row_imports_nothing — ناجح</t>
  </si>
  <si>
    <t>PRD-10</t>
  </si>
  <si>
    <t>تصدير المنتجات Excel</t>
  </si>
  <si>
    <t>منتجات موجودة</t>
  </si>
  <si>
    <t>1. المنتجات ← تصدير</t>
  </si>
  <si>
    <t>يُنزَّل ملف Excel فيه كل المنتجات</t>
  </si>
  <si>
    <t>نُزّل products-20261026.xlsx</t>
  </si>
  <si>
    <t>PRD-11</t>
  </si>
  <si>
    <t>تعديل أسعار منتج</t>
  </si>
  <si>
    <t>1. عدّل سعر البيع واحفظ
2. افتح نقطة البيع</t>
  </si>
  <si>
    <t>يظهر السعر الجديد، ويُسجَّل في سجل العمليات</t>
  </si>
  <si>
    <t>PRD-12</t>
  </si>
  <si>
    <t>أرشفة منتج</t>
  </si>
  <si>
    <t>منتج</t>
  </si>
  <si>
    <t>1. أرشف المنتج
2. ابحث عنه في نقطة البيع</t>
  </si>
  <si>
    <t>لا يظهر للبيع، ويعود بعد إلغاء الأرشفة</t>
  </si>
  <si>
    <t>لا يظهر بعد الأرشفة، وأُعيد</t>
  </si>
  <si>
    <t>PRD-13</t>
  </si>
  <si>
    <t>الترقيم والتنقل بين الصفحات</t>
  </si>
  <si>
    <t>أكثر من 20 منتجًا</t>
  </si>
  <si>
    <t>1. افتح المنتجات
2. انتقل للصفحة 2</t>
  </si>
  <si>
    <t>تظهر المنتجات التالية والعدد الكلي صحيح</t>
  </si>
  <si>
    <t>Paged_user_list_clamps_page_size</t>
  </si>
  <si>
    <t>27 منتج تعرض في صفحة واحدة (حجم الصفحة أكبر من العدد) — العدد الكلي صحيح</t>
  </si>
  <si>
    <t>PRD-14</t>
  </si>
  <si>
    <t>البحث بتهجئات عربية مختلفة</t>
  </si>
  <si>
    <t>منتج «غسالة أوتوماتيك»</t>
  </si>
  <si>
    <t>1. ابحث بـ «غساله اوتوماتيك»</t>
  </si>
  <si>
    <t>يظهر المنتج (ه/ة، أ/ا)</t>
  </si>
  <si>
    <t>Search_ignores_arabic_spelling_variants_and_finds_by_code</t>
  </si>
  <si>
    <t>INV-01</t>
  </si>
  <si>
    <t>المخزون والجرد</t>
  </si>
  <si>
    <t>عرض المخزون والكميات</t>
  </si>
  <si>
    <t>منتجات بكميات</t>
  </si>
  <si>
    <t>1. افتح المخزون</t>
  </si>
  <si>
    <t>تظهر الكميات والقيمة بالتكلفة</t>
  </si>
  <si>
    <t>INV-02</t>
  </si>
  <si>
    <t>تسجيل تالف</t>
  </si>
  <si>
    <t>منتج كميته 5</t>
  </si>
  <si>
    <t>1. المخزون ← تعديل ← تالف 1</t>
  </si>
  <si>
    <t>الكمية 4 وتظهر كخسارة في التقارير</t>
  </si>
  <si>
    <t>Weighted_average_follows_purchases_shrinkage_and_purchase_returns</t>
  </si>
  <si>
    <t>20 → 19</t>
  </si>
  <si>
    <t>INV-03</t>
  </si>
  <si>
    <t>تسجيل مفقود أكثر من الموجود</t>
  </si>
  <si>
    <t>منتج كميته 2</t>
  </si>
  <si>
    <t>1. سجّل مفقود 5</t>
  </si>
  <si>
    <t>رسالة رفض ولا تتغير الكمية</t>
  </si>
  <si>
    <t>Issuing_more_than_available_is_refused_without_side_effects</t>
  </si>
  <si>
    <t>رُفض تسجيل مفقود 500 والمتوفر 1 برسالة «الكمية المتوفرة … هي 1 فقط، ولا تكفي لخصم 500»، ولم تتغير الكمية</t>
  </si>
  <si>
    <t>INV-04</t>
  </si>
  <si>
    <t>جرد مع فروقات</t>
  </si>
  <si>
    <t>منتجان</t>
  </si>
  <si>
    <t>1. المخزون ← جرد جديد
2. أدخل كميات فعلية مختلفة
3. اعتمد</t>
  </si>
  <si>
    <t>تُسجَّل الفروقات كتعديلات زيادة/نقص</t>
  </si>
  <si>
    <t>Stock_count_posts_the_difference_as_adjustments</t>
  </si>
  <si>
    <t>بدأ جرد SC-2026-000001 (26 منتج). الاعتماد وترحيل الفروقات مغطى بالاختبار الآلي Stock_count_posts_the_difference_as_adjustments</t>
  </si>
  <si>
    <t>INV-05</t>
  </si>
  <si>
    <t>حركات منتج</t>
  </si>
  <si>
    <t>منتج عليه شراء وبيع</t>
  </si>
  <si>
    <t>1. افتح المنتج ← الحركات</t>
  </si>
  <si>
    <t>كل حركة بنوعها ورقم المستند والرصيد بعدها</t>
  </si>
  <si>
    <t>INV-06</t>
  </si>
  <si>
    <t>متوسط التكلفة بعد شراءين بسعرين</t>
  </si>
  <si>
    <t>منتج فارغ</t>
  </si>
  <si>
    <t>1. اشترِ 10 بسعر 10
2. اشترِ 10 بسعر 20
3. افتح المنتج</t>
  </si>
  <si>
    <t>متوسط التكلفة 15</t>
  </si>
  <si>
    <t>Receipt_blends_the_new_cost_into_the_average</t>
  </si>
  <si>
    <t>PUR-01</t>
  </si>
  <si>
    <t>الموردون والمشتريات</t>
  </si>
  <si>
    <t>إضافة مورد برصيد افتتاحي</t>
  </si>
  <si>
    <t>1. الموردون ← إضافة برصيد 500</t>
  </si>
  <si>
    <t>يظهر المستحق للمورد 500</t>
  </si>
  <si>
    <t>PUR-02</t>
  </si>
  <si>
    <t>فاتورة شراء مسودة</t>
  </si>
  <si>
    <t>مورد ومنتج</t>
  </si>
  <si>
    <t>1. فاتورة شراء جديدة ← احفظ كمسودة</t>
  </si>
  <si>
    <t>لا تتغير الكميات ولا الأرصدة</t>
  </si>
  <si>
    <t>Draft_purchase_has_no_effect_until_posted</t>
  </si>
  <si>
    <t>مسودة بدون أثر على الكمية</t>
  </si>
  <si>
    <t>PUR-03</t>
  </si>
  <si>
    <t>اعتماد فاتورة شراء مع دفع جزئي</t>
  </si>
  <si>
    <t>رصيد في الصندوق</t>
  </si>
  <si>
    <t>1. فاتورة 1000 مع خصم 50 ودفع 400 نقدًا
2. اعتمد</t>
  </si>
  <si>
    <t>تزيد الكميات، المستحق للمورد 550، والصندوق ينقص 400</t>
  </si>
  <si>
    <t>Posting_a_purchase_allocates_the_discount_and_updates_supplier_and_account</t>
  </si>
  <si>
    <t>الكمية +10، الصندوق −100، المستحق للمورد +200</t>
  </si>
  <si>
    <t>PUR-04</t>
  </si>
  <si>
    <t>مردود مشتريات</t>
  </si>
  <si>
    <t>فاتورة شراء معتمدة</t>
  </si>
  <si>
    <t>1. افتح الفاتورة ← مردود ← كمية 2</t>
  </si>
  <si>
    <t>تنقص الكميات ويقل المستحق للمورد</t>
  </si>
  <si>
    <t>Returning_more_than_purchased_is_refused</t>
  </si>
  <si>
    <t>PUR-05</t>
  </si>
  <si>
    <t>إلغاء فاتورة شراء</t>
  </si>
  <si>
    <t>فاتورة لم تُبع بضاعتها</t>
  </si>
  <si>
    <t>1. ألغِ الفاتورة مع ذكر السبب</t>
  </si>
  <si>
    <t>تُعكس الكميات والمورد والدفعة</t>
  </si>
  <si>
    <t>Voiding_a_purchase_reverses_stock_supplier_and_payment</t>
  </si>
  <si>
    <t>مغطى بالاختبار الآلي Voiding_a_purchase_reverses_stock_supplier_and_payment — ناجح</t>
  </si>
  <si>
    <t>PUR-06</t>
  </si>
  <si>
    <t>منع إلغاء شراء بعد بيع بضاعته</t>
  </si>
  <si>
    <t>بيعت بعض بضاعة الفاتورة</t>
  </si>
  <si>
    <t>1. حاول إلغاء فاتورة الشراء</t>
  </si>
  <si>
    <t>Purchase_cannot_be_voided_once_its_goods_are_gone</t>
  </si>
  <si>
    <t>مغطى بالاختبار الآلي Purchase_cannot_be_voided_once_its_goods_are_gone — ناجح</t>
  </si>
  <si>
    <t>PUR-07</t>
  </si>
  <si>
    <t>كشف حساب المورد</t>
  </si>
  <si>
    <t>محاسب</t>
  </si>
  <si>
    <t>مورد عليه حركات</t>
  </si>
  <si>
    <t>1. افتح المورد ← كشف الحساب</t>
  </si>
  <si>
    <t>الرصيد يتراكم سطرًا بسطر ويطابق الرصيد الحالي</t>
  </si>
  <si>
    <t>Supplier_statement_runs_the_balance_line_by_line</t>
  </si>
  <si>
    <t>رصيد الكشف = رصيد المورد = 500</t>
  </si>
  <si>
    <t>POS-01</t>
  </si>
  <si>
    <t>نقطة البيع</t>
  </si>
  <si>
    <t>بيع نقدي بسيط</t>
  </si>
  <si>
    <t>منتج كميته 5 وسعره 20</t>
  </si>
  <si>
    <t>1. نقطة البيع ← أضف المنتج
2. الدفع ← نقدي ← اعتماد الفاتورة</t>
  </si>
  <si>
    <t>«تم البيع»، الكمية 4، الصندوق +20</t>
  </si>
  <si>
    <t>Cash_sale_issues_stock_at_average_cost_and_records_the_money</t>
  </si>
  <si>
    <t>POS-02</t>
  </si>
  <si>
    <t>إضافة منتج بقارئ الباركود</t>
  </si>
  <si>
    <t>منتج له باركود</t>
  </si>
  <si>
    <t>1. امسح الباركود بالقارئ أو الكاميرا</t>
  </si>
  <si>
    <t>يُضاف المنتج للسلة مباشرة</t>
  </si>
  <si>
    <t>محاكاة قارئ باركود (أرقام + Enter) أضافت المنتج؛ مسح الكاميرا يحتاج جوالًا حقيقيًا</t>
  </si>
  <si>
    <t>POS-03</t>
  </si>
  <si>
    <t>البحث بالاسم أو الكود في نقطة البيع</t>
  </si>
  <si>
    <t>1. اكتب جزءًا من الاسم أو P-00001 واضغط Enter</t>
  </si>
  <si>
    <t>يظهر/يُضاف المنتج</t>
  </si>
  <si>
    <t>POS-04</t>
  </si>
  <si>
    <t>تعديل الكمية والسعر في السلة</t>
  </si>
  <si>
    <t>منتج في السلة</t>
  </si>
  <si>
    <t>1. غيّر الكمية إلى 3</t>
  </si>
  <si>
    <t>يتحدث الإجمالي فورًا</t>
  </si>
  <si>
    <t>3 × 50 = 150 تحدّث فورًا</t>
  </si>
  <si>
    <t>POS-05</t>
  </si>
  <si>
    <t>البيع بأقل من الحد الأدنى</t>
  </si>
  <si>
    <t>منتج حده الأدنى 85</t>
  </si>
  <si>
    <t>1. غيّر السعر إلى 80 واعتمد</t>
  </si>
  <si>
    <t>رسالة رفض لموظف المبيعات</t>
  </si>
  <si>
    <t>رُفض: الخصم (33.3%) يتجاوز الحد المسموح (10%)</t>
  </si>
  <si>
    <t>POS-06</t>
  </si>
  <si>
    <t>خصم على الفاتورة</t>
  </si>
  <si>
    <t>1. أضف خصمًا ضمن الحد</t>
  </si>
  <si>
    <t>يُوزَّع الخصم على البنود ويظهر الإجمالي الصحيح</t>
  </si>
  <si>
    <t>Discount_allocation_is_proportional_and_sums_exactly</t>
  </si>
  <si>
    <t>2 × 50 − 10 = 90</t>
  </si>
  <si>
    <t>POS-07</t>
  </si>
  <si>
    <t>بيع آجل يحتاج عميلًا باسمه</t>
  </si>
  <si>
    <t>1. بيع بدون دفع كامل لزبون نقدي</t>
  </si>
  <si>
    <t>رسالة تطلب اسم العميل وجواله</t>
  </si>
  <si>
    <t>Credit_sale_needs_a_named_customer_and_reuses_them_by_phone</t>
  </si>
  <si>
    <t>المبلغ غير مكتمل: للبيع الآجل اختر العميل أو اكتب اسمه ورقم جواله</t>
  </si>
  <si>
    <t>POS-08</t>
  </si>
  <si>
    <t>بيع آجل لعميل جديد بالاسم والجوال</t>
  </si>
  <si>
    <t>1. اختر «عميل (اسم وجوال)»
2. ادفع جزءًا</t>
  </si>
  <si>
    <t>يُنشأ العميل ويُسجَّل عليه الباقي</t>
  </si>
  <si>
    <t>أُنشئ العميل وعليه 30</t>
  </si>
  <si>
    <t>POS-09</t>
  </si>
  <si>
    <t>نفس الجوال يعيد استخدام نفس العميل</t>
  </si>
  <si>
    <t>عميل بجوال 0599…</t>
  </si>
  <si>
    <t>1. بيع آجل بنفس الجوال</t>
  </si>
  <si>
    <t>لا يُنشأ عميل مكرر</t>
  </si>
  <si>
    <t>نفس العميل، عليه الآن 80</t>
  </si>
  <si>
    <t>POS-10</t>
  </si>
  <si>
    <t>دفع مقسّم (نقدي + بنك)</t>
  </si>
  <si>
    <t>1. فعّل التقسيم: 50 نقدي + 70 بنك</t>
  </si>
  <si>
    <t>يُسجَّل كل مبلغ في حسابه</t>
  </si>
  <si>
    <t>الصندوق +50 والبنك +70</t>
  </si>
  <si>
    <t>POS-11</t>
  </si>
  <si>
    <t>بيع بحوالة بانتظار التحقق</t>
  </si>
  <si>
    <t>1. ادفع بجوال بي لعميل باسمه مع رقم المرجع</t>
  </si>
  <si>
    <t>تُنشأ حوالة في شاشة الحوالات والفاتورة «آجل»</t>
  </si>
  <si>
    <t>Till_transfer_awaiting_verification_stays_as_debt_until_confirmed</t>
  </si>
  <si>
    <t>تحقق في SET-03: INV-2026-000002 آجل + TR-2026-000001 بانتظار التحقق</t>
  </si>
  <si>
    <t>POS-12</t>
  </si>
  <si>
    <t>كمية أكبر من المخزون</t>
  </si>
  <si>
    <t>1. بِع 3</t>
  </si>
  <si>
    <t>رسالة «الكمية غير متوفرة» ولا يُسجَّل شيء</t>
  </si>
  <si>
    <t>Insufficient_stock_rolls_back_everything</t>
  </si>
  <si>
    <t>السلة لا تزيد عن الكمية المتوفرة (1)، والسيرفر يرفض: الكمية المتوفرة من «مكواة QA689258» هي 1 فقط، ولا تكفي لخصم 3</t>
  </si>
  <si>
    <t>POS-13</t>
  </si>
  <si>
    <t>الضغط مرتين على «اعتماد»</t>
  </si>
  <si>
    <t>إنترنت بطيء</t>
  </si>
  <si>
    <t>1. اضغط «اعتماد الفاتورة» مرتين بسرعة</t>
  </si>
  <si>
    <t>تُنشأ فاتورة واحدة فقط</t>
  </si>
  <si>
    <t>Double_submit_with_the_same_key_creates_one_invoice</t>
  </si>
  <si>
    <t>نقرتان مع اتصال بطيء → فاتورة واحدة</t>
  </si>
  <si>
    <t>POS-14</t>
  </si>
  <si>
    <t>السلة تبقى عند الخروج من الصفحة</t>
  </si>
  <si>
    <t>منتجات في السلة</t>
  </si>
  <si>
    <t>1. انتقل لصفحة أخرى ثم ارجع</t>
  </si>
  <si>
    <t>السلة كما هي</t>
  </si>
  <si>
    <t>POS-15</t>
  </si>
  <si>
    <t>شريط الدفع ظاهر على الآيفون</t>
  </si>
  <si>
    <t>آيفون</t>
  </si>
  <si>
    <t>1. أضف منتجات
2. انزل لأسفل الشاشة</t>
  </si>
  <si>
    <t>زر الدفع ظاهر فوق شريط التنقل وفوق خط الآيفون السفلي</t>
  </si>
  <si>
    <t>على شاشة بحجم آيفون (390×844) الزر ظاهر فوق شريط التنقل؛ الجهاز الحقيقي يُنصح بتجربته</t>
  </si>
  <si>
    <t>POS-16</t>
  </si>
  <si>
    <t>بيع بالجملة</t>
  </si>
  <si>
    <t>منتج له سعر جملة</t>
  </si>
  <si>
    <t>1. اختر «جملة» وأضف المنتج</t>
  </si>
  <si>
    <t>يُستخدم سعر الجملة</t>
  </si>
  <si>
    <t>SAL-01</t>
  </si>
  <si>
    <t>فواتير المبيعات والمرتجعات</t>
  </si>
  <si>
    <t>قائمة الفواتير وفلترة الفترة</t>
  </si>
  <si>
    <t>فواتير اليوم وأمس</t>
  </si>
  <si>
    <t>1. فواتير المبيعات ← اليوم / أمس / هذا الشهر</t>
  </si>
  <si>
    <t>تظهر فواتير الفترة المختارة فقط</t>
  </si>
  <si>
    <t>SAL-02</t>
  </si>
  <si>
    <t>فلتر «غير مسددة»</t>
  </si>
  <si>
    <t>فاتورة آجلة وفاتورة مدفوعة</t>
  </si>
  <si>
    <t>1. اختر «غير مسددة»</t>
  </si>
  <si>
    <t>تظهر الآجلة فقط</t>
  </si>
  <si>
    <t>SAL-03</t>
  </si>
  <si>
    <t>تأكيد الحوالة يجعل الفاتورة مدفوعة</t>
  </si>
  <si>
    <t>فاتورة بحوالة بانتظار التحقق</t>
  </si>
  <si>
    <t>1. الحوالات ← تأكيد
2. افتح الفاتورة</t>
  </si>
  <si>
    <t>الفاتورة «مدفوعة» والباقي 0</t>
  </si>
  <si>
    <t>تحسين أُضيف: صفحة الفاتورة تعرض «مُحصّل بعد البيع (حوالة مؤكدة)» والباقي 0.</t>
  </si>
  <si>
    <t>SAL-04</t>
  </si>
  <si>
    <t>موظف المبيعات يرى فواتيره فقط</t>
  </si>
  <si>
    <t>فواتير لموظفين مختلفين</t>
  </si>
  <si>
    <t>1. افتح فواتير المبيعات</t>
  </si>
  <si>
    <t>يظهر «فواتيرك أنت فقط» وفواتيره هو فقط</t>
  </si>
  <si>
    <t>Sales_staff_see_only_their_own_invoices_and_summary</t>
  </si>
  <si>
    <t>SAL-05</t>
  </si>
  <si>
    <t>مرتجع جزئي مع إرجاع المبلغ</t>
  </si>
  <si>
    <t>فاتورة نقدية بكمية 3</t>
  </si>
  <si>
    <t>1. افتح الفاتورة ← مرتجع 1 ← إرجاع نقدي</t>
  </si>
  <si>
    <t>الكمية ترجع للمخزون والصندوق ينقص</t>
  </si>
  <si>
    <t>Returns_restock_sellable_goods_refund_money_and_cannot_exceed_what_was_sold</t>
  </si>
  <si>
    <t>الكمية +1 والصندوق −50</t>
  </si>
  <si>
    <t>SAL-06</t>
  </si>
  <si>
    <t>مرتجع تالف</t>
  </si>
  <si>
    <t>فاتورة</t>
  </si>
  <si>
    <t>1. مرتجع بحالة «تالف»</t>
  </si>
  <si>
    <t>لا يرجع للمخزون ويُحسب خسارة</t>
  </si>
  <si>
    <t>مغطى بالاختبار الآلي Returns_restock_sellable_goods_refund_money_and_cannot_exceed_what_was_sold — ناجح</t>
  </si>
  <si>
    <t>SAL-07</t>
  </si>
  <si>
    <t>مرتجع أكثر من المباع</t>
  </si>
  <si>
    <t>فاتورة بكمية 2</t>
  </si>
  <si>
    <t>1. حاول إرجاع 3</t>
  </si>
  <si>
    <t>رُفض إرجاع 5 والمتبقي 2</t>
  </si>
  <si>
    <t>SAL-08</t>
  </si>
  <si>
    <t>مرتجع فاتورة آجلة يخصم من الدين</t>
  </si>
  <si>
    <t>فاتورة آجلة</t>
  </si>
  <si>
    <t>1. مرتجع «يُخصم من حسابه»</t>
  </si>
  <si>
    <t>يقل دين العميل</t>
  </si>
  <si>
    <t>Returning_a_credit_sale_reduces_the_customer_debt</t>
  </si>
  <si>
    <t>الدين 80 → 30</t>
  </si>
  <si>
    <t>SAL-09</t>
  </si>
  <si>
    <t>إلغاء فاتورة</t>
  </si>
  <si>
    <t>فاتورة بدون مرتجع</t>
  </si>
  <si>
    <t>1. ألغِ الفاتورة مع السبب</t>
  </si>
  <si>
    <t>ترجع الكميات والمبالغ والدين، وتظهر «ملغاة»</t>
  </si>
  <si>
    <t>Voiding_reverses_stock_money_and_debt_and_is_blocked_after_a_return</t>
  </si>
  <si>
    <t>SAL-10</t>
  </si>
  <si>
    <t>منع إلغاء فاتورة عليها مرتجع</t>
  </si>
  <si>
    <t>فاتورة عليها مرتجع</t>
  </si>
  <si>
    <t>1. حاول إلغاءها</t>
  </si>
  <si>
    <t>زر الإلغاء غير ظاهر لفاتورة عليها مرتجع</t>
  </si>
  <si>
    <t>SAL-11</t>
  </si>
  <si>
    <t>المبلغ كتابةً على الفاتورة</t>
  </si>
  <si>
    <t>فاتورة 1,150</t>
  </si>
  <si>
    <t>1. افتح الفاتورة للطباعة</t>
  </si>
  <si>
    <t>يظهر «ألف ومئة وخمسون شيكلًا»</t>
  </si>
  <si>
    <t>نقص اكتُشف وأُضيف: الفاتورة المطبوعة لم تكن تكتب المبلغ كتابةً. الآن تظهر «… شيكل فقط لا غير». — يظهر «ألف ومئة وخمسون شيكلًا»</t>
  </si>
  <si>
    <t>CUS-01</t>
  </si>
  <si>
    <t>العملاء والديون</t>
  </si>
  <si>
    <t>إضافة عميل بدين سابق</t>
  </si>
  <si>
    <t>1. العملاء ← إضافة برصيد افتتاحي 200</t>
  </si>
  <si>
    <t>يظهر «عليه 200»</t>
  </si>
  <si>
    <t>CUS-02</t>
  </si>
  <si>
    <t>كشف حساب العميل</t>
  </si>
  <si>
    <t>عميل عليه حركات</t>
  </si>
  <si>
    <t>1. افتح العميل ← كشف الحساب</t>
  </si>
  <si>
    <t>كل حركة بمستندها والرصيد بعدها يطابق الرصيد الحالي</t>
  </si>
  <si>
    <t>Customer_statement_runs_the_balance_line_by_line_and_ends_at_the_balance</t>
  </si>
  <si>
    <t>الكشف = الرصيد = 30</t>
  </si>
  <si>
    <t>CUS-03</t>
  </si>
  <si>
    <t>فلتر «عليهم ديون»</t>
  </si>
  <si>
    <t>عملاء مع وبدون دين</t>
  </si>
  <si>
    <t>1. العملاء ← عليهم ديون</t>
  </si>
  <si>
    <t>تظهر من عليهم دين فقط</t>
  </si>
  <si>
    <t>CUS-04</t>
  </si>
  <si>
    <t>معنى «له» و«عليه»</t>
  </si>
  <si>
    <t>عميل دفع أكثر من دينه</t>
  </si>
  <si>
    <t>1. افتح قائمة العملاء</t>
  </si>
  <si>
    <t>يظهر «له» بالرصيد الموجب للعميل و«عليه» بالأحمر للمدين</t>
  </si>
  <si>
    <t>عميل له 50 يظهر «له»، ومدين يظهر «عليه» بالأحمر</t>
  </si>
  <si>
    <t>CUS-05</t>
  </si>
  <si>
    <t>البحث عن عميل بالجوال</t>
  </si>
  <si>
    <t>عميل جواله 0592…</t>
  </si>
  <si>
    <t>1. ابحث بـ 592… أو +972592…</t>
  </si>
  <si>
    <t>يظهر العميل</t>
  </si>
  <si>
    <t>TRF-01</t>
  </si>
  <si>
    <t>الحوالات</t>
  </si>
  <si>
    <t>تسجيل حوالة واردة يدويًا</t>
  </si>
  <si>
    <t>1. الحوالات ← جديدة: الاسم، المبلغ، الحساب، المرجع، صورة الإثبات</t>
  </si>
  <si>
    <t>تظهر «بانتظار التحقق» ولا يتغير رصيد الحساب</t>
  </si>
  <si>
    <t>Pending_transfer_is_not_money_until_confirmed_and_then_reduces_the_debt</t>
  </si>
  <si>
    <t>TR-2026-000002 بانتظار التحقق مع صورة إثبات</t>
  </si>
  <si>
    <t>TRF-02</t>
  </si>
  <si>
    <t>تأكيد حوالة</t>
  </si>
  <si>
    <t>حوالة بانتظار التحقق</t>
  </si>
  <si>
    <t>1. اضغط «تأكيد»</t>
  </si>
  <si>
    <t>يُنشأ سند قبض ويزيد رصيد الحساب ويقل دين العميل</t>
  </si>
  <si>
    <t>مؤكدة + RV-2026-000003</t>
  </si>
  <si>
    <t>TRF-03</t>
  </si>
  <si>
    <t>رفض حوالة مع السبب</t>
  </si>
  <si>
    <t>1. اضغط «رفض» واكتب السبب</t>
  </si>
  <si>
    <t>تظهر «مرفوضة» ولا يتغير أي رصيد</t>
  </si>
  <si>
    <t>Rejected_transfer_changes_nothing</t>
  </si>
  <si>
    <t>TRF-04</t>
  </si>
  <si>
    <t>رقم مرجع مكرر</t>
  </si>
  <si>
    <t>حوالة بمرجع JP123</t>
  </si>
  <si>
    <t>1. سجّل حوالة أخرى لنفس الحساب بنفس المرجع</t>
  </si>
  <si>
    <t>رسالة «رقم المرجع مسجّل من قبل في الحوالة TR-…»</t>
  </si>
  <si>
    <t>A_transfer_reference_cannot_be_used_twice_on_the_same_account</t>
  </si>
  <si>
    <t>خطأ اكتُشف وأُصلح: كانت تظهر «يرجى تصحيح الحقول» بدون توضيح. الآن تظهر «رقم المرجع مسجّل من قبل في الحوالة TR-…» (ونفس الإصلاح يشمل كل الشاشات). — رسالة تذكر رقم الحوالة السابقة TR-2026-000002</t>
  </si>
  <si>
    <t>TRF-05</t>
  </si>
  <si>
    <t>تأكيد نفس الحوالة مرتين</t>
  </si>
  <si>
    <t>حوالة مؤكدة</t>
  </si>
  <si>
    <t>1. حاول تأكيدها مرة أخرى</t>
  </si>
  <si>
    <t>رسالة «الحوالة مؤكدة من قبل»</t>
  </si>
  <si>
    <t>رُفض: الحوالة مؤكدة من قبل</t>
  </si>
  <si>
    <t>TRF-06</t>
  </si>
  <si>
    <t>الحوالات بانتظار التحقق أولًا</t>
  </si>
  <si>
    <t>حوالات بحالات مختلفة</t>
  </si>
  <si>
    <t>1. افتح شاشة الحوالات</t>
  </si>
  <si>
    <t>المنتظرة في الأعلى (الأقدم أولًا)</t>
  </si>
  <si>
    <t>ACC-01</t>
  </si>
  <si>
    <t>الحسابات المالية والتحويلات</t>
  </si>
  <si>
    <t>الحسابات الافتراضية موجودة</t>
  </si>
  <si>
    <t>نظام جديد</t>
  </si>
  <si>
    <t>1. افتح الحسابات المالية</t>
  </si>
  <si>
    <t>الصندوق النقدي، جوال بي، بنك فلسطين، بنك القدس، البنك الإسلامي، بال بي</t>
  </si>
  <si>
    <t>Seed_creates_the_initial_financial_accounts_and_default_warehouse</t>
  </si>
  <si>
    <t>ACC-02</t>
  </si>
  <si>
    <t>رصيد افتتاحي لحساب</t>
  </si>
  <si>
    <t>1. افتح الحساب ← رصيد افتتاحي 1000</t>
  </si>
  <si>
    <t>يصبح الرصيد 1000 ويظهر كحركة في الكشف</t>
  </si>
  <si>
    <t>Opening_balance_is_posted_as_a_movement_and_the_balance_always_equals_the_movements</t>
  </si>
  <si>
    <t>ACC-03</t>
  </si>
  <si>
    <t>تحويل بين حسابين</t>
  </si>
  <si>
    <t>الصندوق 500</t>
  </si>
  <si>
    <t>1. تحويل 200 من الصندوق إلى بنك فلسطين</t>
  </si>
  <si>
    <t>الصندوق 300 والبنك +200</t>
  </si>
  <si>
    <t>Transfer_between_accounts_moves_money_and_refuses_overdraft</t>
  </si>
  <si>
    <t>ACC-04</t>
  </si>
  <si>
    <t>تحويل أكبر من الرصيد</t>
  </si>
  <si>
    <t>الصندوق 100</t>
  </si>
  <si>
    <t>1. حوّل 500</t>
  </si>
  <si>
    <t>رسالة «الرصيد غير كافٍ»</t>
  </si>
  <si>
    <t>رُفض: "رصيد «جوال بي» (130.00 ₪) لا يكفي لهذا المبلغ. إذا كان الرصيد الفعلي أكبر، اضبط الرصيد الافتتاحي من صفحة الحسابات"</t>
  </si>
  <si>
    <t>ACC-05</t>
  </si>
  <si>
    <t>إخفاء أرقام الحسابات</t>
  </si>
  <si>
    <t>حساب بنكي برقم</t>
  </si>
  <si>
    <t>1. افتح الحسابات بموظف مبيعات</t>
  </si>
  <si>
    <t>الرقم يظهر «•••• 1234»</t>
  </si>
  <si>
    <t>Account_numbers_are_masked_without_permission_and_kept_on_update</t>
  </si>
  <si>
    <t>يظهر لموظف المبيعات: •••• 1234</t>
  </si>
  <si>
    <t>VOU-01</t>
  </si>
  <si>
    <t>السندات والمصروفات</t>
  </si>
  <si>
    <t>سند قبض تحصيل دين</t>
  </si>
  <si>
    <t>عميل عليه 300</t>
  </si>
  <si>
    <t>1. سند قبض ← تحصيل دين ← 200</t>
  </si>
  <si>
    <t>دين العميل 100 والحساب +200، ولا يُحسب كمبيعات</t>
  </si>
  <si>
    <t>Receipt_voucher_collects_debt_without_counting_as_a_sale_and_guards_against_doubles</t>
  </si>
  <si>
    <t>الدين 30 → 20</t>
  </si>
  <si>
    <t>VOU-02</t>
  </si>
  <si>
    <t>سند قبض أكبر من الدين</t>
  </si>
  <si>
    <t>عميل عليه 100</t>
  </si>
  <si>
    <t>1. سند قبض بـ 150</t>
  </si>
  <si>
    <t>رسالة «المبلغ أكبر من دين…»</t>
  </si>
  <si>
    <t>Collecting_more_than_the_customer_owes_is_refused</t>
  </si>
  <si>
    <t>VOU-03</t>
  </si>
  <si>
    <t>سند صرف لمورد</t>
  </si>
  <si>
    <t>مورد له 500 والصندوق 1000</t>
  </si>
  <si>
    <t>1. سند صرف ← دفع لمورد 300</t>
  </si>
  <si>
    <t>المستحق للمورد 200 والصندوق 700</t>
  </si>
  <si>
    <t>Payment_voucher_settles_supplier_debt_and_needs_funds</t>
  </si>
  <si>
    <t>المستحق للمورد 500 → 200</t>
  </si>
  <si>
    <t>VOU-04</t>
  </si>
  <si>
    <t>تسجيل مصروف</t>
  </si>
  <si>
    <t>1. المصروفات ← كهرباء 150 من الصندوق</t>
  </si>
  <si>
    <t>يقل الصندوق 150 ويظهر في التقارير</t>
  </si>
  <si>
    <t>Expense_is_paid_by_one_voucher_and_voiding_it_reverses_the_money</t>
  </si>
  <si>
    <t>VOU-05</t>
  </si>
  <si>
    <t>إلغاء سند</t>
  </si>
  <si>
    <t>سند قبض</t>
  </si>
  <si>
    <t>1. ألغِ السند مع السبب</t>
  </si>
  <si>
    <t>تُعكس المبالغ</t>
  </si>
  <si>
    <t>VOU-06</t>
  </si>
  <si>
    <t>طباعة سند بالمبلغ كتابةً</t>
  </si>
  <si>
    <t>سند</t>
  </si>
  <si>
    <t>1. اطبع السند</t>
  </si>
  <si>
    <t>A4 فيه بيانات المعرض والمبلغ كتابةً</t>
  </si>
  <si>
    <t>يظهر «عشرة شواكل» ويُطبع A4</t>
  </si>
  <si>
    <t>RPT-01</t>
  </si>
  <si>
    <t>التقارير ولوحة التحكم</t>
  </si>
  <si>
    <t>لوحة التحكم: أرقام اليوم</t>
  </si>
  <si>
    <t>مبيعات اليوم</t>
  </si>
  <si>
    <t>1. افتح لوحة التحكم</t>
  </si>
  <si>
    <t>مبيعات اليوم، عدد الفواتير، المبالغ المستلمة، ربح اليوم تطابق الفواتير</t>
  </si>
  <si>
    <t>مبيعات اليوم 1,760.00 في 12 فاتورة تطابق التقرير</t>
  </si>
  <si>
    <t>RPT-02</t>
  </si>
  <si>
    <t>تقرير الإيرادات والمصروفات والربح</t>
  </si>
  <si>
    <t>بيع + مرتجع + تالف + مصروف</t>
  </si>
  <si>
    <t>1. التقارير ← اليوم</t>
  </si>
  <si>
    <t>الإيرادات = المبيعات − الخصومات − المرتجعات؛ المصروفات = ثمن البضاعة المباعة + التالف + المصاريف؛ الربح = الإيرادات − المصروفات</t>
  </si>
  <si>
    <t>Profit_and_loss_follows_the_accounting_rules</t>
  </si>
  <si>
    <t>صافي 1760 = 1920 − 10 − 150؛ الربح التشغيلي 1140</t>
  </si>
  <si>
    <t>RPT-03</t>
  </si>
  <si>
    <t>التدفق النقدي لا يشمل التحويلات الداخلية</t>
  </si>
  <si>
    <t>1. التقارير ← التدفق النقدي</t>
  </si>
  <si>
    <t>التحويل لا يظهر كداخل/خارج</t>
  </si>
  <si>
    <t>بنود التدفق: مقبوضات مبيعات،تحصيل دين،إيراد آخر،دفعة لمورد،مصروف،قيد عكسي،استرداد لعميل</t>
  </si>
  <si>
    <t>RPT-04</t>
  </si>
  <si>
    <t>الرسم اليومي يغطي كل الأيام</t>
  </si>
  <si>
    <t>1. التقارير ← آخر 7 أيام</t>
  </si>
  <si>
    <t>7 أعمدة حتى الأيام بدون مبيعات</t>
  </si>
  <si>
    <t>Daily_series_covers_every_day_of_the_range</t>
  </si>
  <si>
    <t>مغطى بالاختبار الآلي Daily_series_covers_every_day_of_the_range — ناجح</t>
  </si>
  <si>
    <t>RPT-05</t>
  </si>
  <si>
    <t>تقرير المنتجات والأصناف والموظفين</t>
  </si>
  <si>
    <t>مبيعات متنوعة</t>
  </si>
  <si>
    <t>1. افتح كل تبويب</t>
  </si>
  <si>
    <t>الكميات والإيرادات والأرباح لكل منتج/صنف/موظف</t>
  </si>
  <si>
    <t>RPT-06</t>
  </si>
  <si>
    <t>تقرير الديون وقيمة المخزون</t>
  </si>
  <si>
    <t>1. افتح تقرير الديون وقيمة المخزون</t>
  </si>
  <si>
    <t>ذمم العملاء والموردين وقيمة المخزون بالتكلفة</t>
  </si>
  <si>
    <t>RPT-07</t>
  </si>
  <si>
    <t>اليوم يبدأ بتوقيت فلسطين</t>
  </si>
  <si>
    <t>بيع الساعة 12:30 ليلًا</t>
  </si>
  <si>
    <t>1. افتح تقرير «اليوم» و«أمس»</t>
  </si>
  <si>
    <t>الفاتورة في اليوم الصحيح بتوقيت القدس</t>
  </si>
  <si>
    <t>Summer_day_starts_at_</t>
  </si>
  <si>
    <t>مغطى بالاختبارين الآليين Summer_day_starts_at_… و Winter_day_starts_at_… (توقيت القدس صيفًا وشتاءً) — ناجح</t>
  </si>
  <si>
    <t>RPT-08</t>
  </si>
  <si>
    <t>الموظف بدون صلاحية الأرباح</t>
  </si>
  <si>
    <t>1. افتح التقارير</t>
  </si>
  <si>
    <t>لا تظهر أرقام الربح والتكلفة</t>
  </si>
  <si>
    <t>Report_figures_respect_report_permissions</t>
  </si>
  <si>
    <t>RPT-09</t>
  </si>
  <si>
    <t>زيادة الجرد في صافي الربح</t>
  </si>
  <si>
    <t>جرد بزيادة كبيرة</t>
  </si>
  <si>
    <t>1. سجّل جردًا بزيادة
2. افتح التقارير</t>
  </si>
  <si>
    <t>الزيادة تظهر منفصلة («زيادة جرد لا تُحسب ربحًا») ولا يتغير الربح</t>
  </si>
  <si>
    <t>Stock_found_or_counted_over_is_not_profit_and_profit_is_revenue_minus_expenses</t>
  </si>
  <si>
    <t>خطأ اكتُشف وأُصلح: زيادة الجرد كانت تُحسب ربحًا. الآن تظهر منفصلة ولا تدخل في الربح.</t>
  </si>
  <si>
    <t>SRC-01</t>
  </si>
  <si>
    <t>البحث والتنبيهات</t>
  </si>
  <si>
    <t>البحث السريع من أعلى الشاشة</t>
  </si>
  <si>
    <t>1. اضغط البحث أو «/»
2. اكتب اسم منتج/عميل/رقم فاتورة</t>
  </si>
  <si>
    <t>تظهر النتائج مصنفة وتفتح عند الضغط</t>
  </si>
  <si>
    <t>SRC-02</t>
  </si>
  <si>
    <t>جرس التنبيهات</t>
  </si>
  <si>
    <t>منتج نفد ومنتج تحت الحد وحوالة منتظرة</t>
  </si>
  <si>
    <t>1. اضغط الجرس</t>
  </si>
  <si>
    <t>يعرض النافد والمقارب والحوالات المنتظرة ومسودات الشراء</t>
  </si>
  <si>
    <t>الإشعارات 23 منتج نفد من المخزون</t>
  </si>
  <si>
    <t>PSH-01</t>
  </si>
  <si>
    <t>إشعارات الجوال</t>
  </si>
  <si>
    <t>تفعيل الإشعارات على أندرويد</t>
  </si>
  <si>
    <t>Chrome أو التطبيق المثبّت</t>
  </si>
  <si>
    <t>1. الحساب الشخصي ← الإشعارات على هذا الجهاز
2. تفعيل ← السماح
3. إرسال إشعار تجريبي</t>
  </si>
  <si>
    <t>يصل إشعار «الإشعارات تعمل على هذا الجهاز ✓»</t>
  </si>
  <si>
    <t>A_device_that_removed_the_app_is_forgotten_after_the_next_notification</t>
  </si>
  <si>
    <t>تفعّل على Chrome وأُرسل الإشعار التجريبي لخدمة Google (وصول الإشعار للشاشة يحتاج جهازًا حقيقيًا)</t>
  </si>
  <si>
    <t>PSH-02</t>
  </si>
  <si>
    <t>تفعيل الإشعارات على الآيفون</t>
  </si>
  <si>
    <t>iOS 16.4+ والتطبيق مثبّت على الشاشة الرئيسية</t>
  </si>
  <si>
    <t>1. افتح التطبيق من الأيقونة
2. نفس خطوات التفعيل</t>
  </si>
  <si>
    <t>يصل الإشعار التجريبي</t>
  </si>
  <si>
    <t>يحتاج آيفون حقيقي (iOS 16.4+) مع التطبيق مثبّت على الشاشة الرئيسية.</t>
  </si>
  <si>
    <t>PSH-03</t>
  </si>
  <si>
    <t>الآيفون من Safari بدون تثبيت</t>
  </si>
  <si>
    <t>Safari</t>
  </si>
  <si>
    <t>1. افتح صفحة الإشعارات</t>
  </si>
  <si>
    <t>رسالة «ثبّت التطبيق أولًا» مع الشرح</t>
  </si>
  <si>
    <t>بهوية Safari آيفون: تظهر رسالة «ثبّت التطبيق أولًا» مع الشرح</t>
  </si>
  <si>
    <t>PSH-04</t>
  </si>
  <si>
    <t>إشعار حوالة جديدة</t>
  </si>
  <si>
    <t>إشعارات الحوالات مفعّلة</t>
  </si>
  <si>
    <t>1. من جهاز آخر بِع بحوالة بانتظار التحقق</t>
  </si>
  <si>
    <t>يصل «حوالة بانتظار التحقق» وعند الضغط تفتح الحوالات</t>
  </si>
  <si>
    <t>A_sale_notifies_each_device_about_what_its_user_may_see_and_chose</t>
  </si>
  <si>
    <t>مغطى بالاختبار الآلي A_sale_notifies_each_device_about_what_its_user_may_see_and_chose — ناجح (وصول الإشعار لجوال حقيقي يُجرَّب يدويًا)</t>
  </si>
  <si>
    <t>PSH-05</t>
  </si>
  <si>
    <t>إشعار بيع جديد</t>
  </si>
  <si>
    <t>إشعارات المبيعات مفعّلة</t>
  </si>
  <si>
    <t>1. من جهاز آخر اعمل فاتورة</t>
  </si>
  <si>
    <t>يصل «بيع جديد» بالمبلغ والعميل والموظف</t>
  </si>
  <si>
    <t>PSH-06</t>
  </si>
  <si>
    <t>إشعار نفاد المخزون</t>
  </si>
  <si>
    <t>منتج كميته 1 وإشعارات المخزون مفعّلة</t>
  </si>
  <si>
    <t>1. بِع الوحدة الأخيرة</t>
  </si>
  <si>
    <t>يصل «نفد من المخزون» باسم المنتج</t>
  </si>
  <si>
    <t>PSH-07</t>
  </si>
  <si>
    <t>إيقاف نوع إشعار</t>
  </si>
  <si>
    <t>الإشعارات مفعّلة</t>
  </si>
  <si>
    <t>1. أوقف «المبيعات»
2. اعمل فاتورة</t>
  </si>
  <si>
    <t>لا يصل إشعار البيع وتستمر الحوالات</t>
  </si>
  <si>
    <t>PSH-08</t>
  </si>
  <si>
    <t>موظف المبيعات لا تصله حوالات</t>
  </si>
  <si>
    <t>إشعارات مفعّلة</t>
  </si>
  <si>
    <t>1. بِع بحوالة</t>
  </si>
  <si>
    <t>لا يصل لموظف المبيعات إشعار حوالة</t>
  </si>
  <si>
    <t>PSH-09</t>
  </si>
  <si>
    <t>تسجيل الخروج يوقف إشعارات الجهاز</t>
  </si>
  <si>
    <t>1. سجّل خروج
2. اعمل بيعًا من جهاز آخر</t>
  </si>
  <si>
    <t>لا يصل إشعار للجهاز الذي خرج</t>
  </si>
  <si>
    <t>عند الخروج يُحذف اشتراك الجهاز (تحقق من الواجهة البرمجية؛ التحقق على جوال حقيقي يدويًا)</t>
  </si>
  <si>
    <t>PRN-01</t>
  </si>
  <si>
    <t>الطباعة والمشاركة</t>
  </si>
  <si>
    <t>طباعة فاتورة A4</t>
  </si>
  <si>
    <t>1. افتح الفاتورة ← طباعة</t>
  </si>
  <si>
    <t>صفحة A4 بالعربي من اليمين، بدون أزرار أو قوائم</t>
  </si>
  <si>
    <t>A4 من اليمين بدون قوائم أو أزرار (الطباعة على ورق تُجرَّب يدويًا)</t>
  </si>
  <si>
    <t>PRN-02</t>
  </si>
  <si>
    <t>حفظ الفاتورة PDF</t>
  </si>
  <si>
    <t>1. طباعة ← حفظ كـ PDF</t>
  </si>
  <si>
    <t>ملف PDF واضح</t>
  </si>
  <si>
    <t>PDF بحجم 33KB</t>
  </si>
  <si>
    <t>PRN-03</t>
  </si>
  <si>
    <t>مشاركة الفاتورة من الجوال</t>
  </si>
  <si>
    <t>جوال</t>
  </si>
  <si>
    <t>1. افتح الفاتورة ← مشاركة</t>
  </si>
  <si>
    <t>تفتح قائمة المشاركة (واتساب…)</t>
  </si>
  <si>
    <t>قائمة المشاركة (واتساب…) تظهر فقط على جوال حقيقي. زر «مشاركة» موجود في صفحة الفاتورة.</t>
  </si>
  <si>
    <t>PRN-04</t>
  </si>
  <si>
    <t>طباعة التقارير</t>
  </si>
  <si>
    <t>1. التقارير ← زر الطابعة</t>
  </si>
  <si>
    <t>التقرير مرتب على A4</t>
  </si>
  <si>
    <t>PWA-01</t>
  </si>
  <si>
    <t>تطبيق الجوال واللابتوب</t>
  </si>
  <si>
    <t>تثبيت التطبيق على أندرويد</t>
  </si>
  <si>
    <t>Chrome</t>
  </si>
  <si>
    <t>1. الحساب الشخصي ← تثبيت التطبيق</t>
  </si>
  <si>
    <t>تظهر أيقونة «معرض قويدر» (البيت وحرف ق) على الشاشة</t>
  </si>
  <si>
    <t>قابل للتثبيت: «معرض قويدر للأدوات والأجهزة المنزلية»، 4 أيقونات (التثبيت الفعلي يُجرَّب على الجوال)</t>
  </si>
  <si>
    <t>PWA-02</t>
  </si>
  <si>
    <t>تثبيت التطبيق على الآيفون</t>
  </si>
  <si>
    <t>1. مشاركة ← إضافة إلى الشاشة الرئيسية</t>
  </si>
  <si>
    <t>يفتح كتطبيق بدون شريط المتصفح وبالأيقونة الجديدة</t>
  </si>
  <si>
    <t>إعدادات وأيقونة الآيفون موجودة (التثبيت الفعلي يُجرَّب على آيفون)</t>
  </si>
  <si>
    <t>PWA-03</t>
  </si>
  <si>
    <t>تثبيت على اللابتوب</t>
  </si>
  <si>
    <t>Chrome/Edge</t>
  </si>
  <si>
    <t>1. أيقونة التثبيت في شريط العنوان</t>
  </si>
  <si>
    <t>يفتح كنافذة مستقلة</t>
  </si>
  <si>
    <t>تثبيت التطبيق على اللابتوب يحتاج تفاعلًا يدويًا من شريط عنوان Chrome/Edge؛ ملف التطبيق صالح (انظر PWA-01).</t>
  </si>
  <si>
    <t>PWA-04</t>
  </si>
  <si>
    <t>تحديث التطبيق تلقائيًا</t>
  </si>
  <si>
    <t>إصدار جديد منشور</t>
  </si>
  <si>
    <t>1. افتح التطبيق المثبّت</t>
  </si>
  <si>
    <t>يتحدث بدون إعادة تثبيت (أو يظهر زر «تحديث»)، ولا يقاطع بيعًا جاريًا</t>
  </si>
  <si>
    <t>عامل الخدمة موجود والتحديث يعمل بنظام «يسأل قبل التفعيل» حتى لا يقطع بيعًا (التحقق الكامل يحتاج نشر إصدارين)</t>
  </si>
  <si>
    <t>PWA-05</t>
  </si>
  <si>
    <t>بدون إنترنت</t>
  </si>
  <si>
    <t>التطبيق مثبّت</t>
  </si>
  <si>
    <t>1. افصل الإنترنت
2. افتح التطبيق</t>
  </si>
  <si>
    <t>شريط «لا يوجد اتصال» ولا تُعرض أرقام قديمة، ويعود عند رجوع النت</t>
  </si>
  <si>
    <t>PWA-06</t>
  </si>
  <si>
    <t>العرض على شاشات مختلفة</t>
  </si>
  <si>
    <t>جوال 375px، تابلت، لابتوب</t>
  </si>
  <si>
    <t>1. افتح كل صفحة</t>
  </si>
  <si>
    <t>لا يوجد تمرير أفقي ولا عناصر مقطوعة</t>
  </si>
  <si>
    <t>19 صفحة × 3 مقاسات بدون تمرير أفقي أو أخطاء</t>
  </si>
  <si>
    <t>PWA-07</t>
  </si>
  <si>
    <t>حقوق الطبع ورقم الإصدار ظاهرة</t>
  </si>
  <si>
    <t>1. صفحة الدخول
2. القائمة الجانبية / المزيد</t>
  </si>
  <si>
    <t>«حقوق الطبع محفوظة — برمجة وتصميم: محمد السيد 00972592541090» وتحتها «الإصدار 1.0.0»</t>
  </si>
  <si>
    <t>SEC-01</t>
  </si>
  <si>
    <t>الأمان وحماية البيانات</t>
  </si>
  <si>
    <t>الوصول للنظام بدون دخول</t>
  </si>
  <si>
    <t>1. افتح رابط /sales مباشرة بدون دخول</t>
  </si>
  <si>
    <t>يُحوَّل لصفحة الدخول</t>
  </si>
  <si>
    <t>Protected_endpoint_without_token_returns_</t>
  </si>
  <si>
    <t>SEC-02</t>
  </si>
  <si>
    <t>الوصول لصفحة بدون صلاحية عبر الرابط</t>
  </si>
  <si>
    <t>1. اكتب رابط /users مباشرة</t>
  </si>
  <si>
    <t>رسالة «لا صلاحية»</t>
  </si>
  <si>
    <t>Sales_role_token_does_not_carry_cost_or_void_permissions</t>
  </si>
  <si>
    <t>SEC-03</t>
  </si>
  <si>
    <t>عنوان السيرفر المباشر مغلق</t>
  </si>
  <si>
    <t>1. افتح qwader.runasp.net/api/settings</t>
  </si>
  <si>
    <t>يُرفض (403)؛ الوصول فقط عبر رابط Cloudflare</t>
  </si>
  <si>
    <t>Api_calls_without_the_proxy_secret_are_refused</t>
  </si>
  <si>
    <t>على السيرفر الحقيقي: 403</t>
  </si>
  <si>
    <t>SEC-04</t>
  </si>
  <si>
    <t>الموقع يعمل على HTTPS فقط</t>
  </si>
  <si>
    <t>1. افتح الرابط بـ http</t>
  </si>
  <si>
    <t>يتحول لـ https</t>
  </si>
  <si>
    <t>Direct_page_visits_redirect_to_the_public_https_address</t>
  </si>
  <si>
    <t>فشل</t>
  </si>
  <si>
    <t>تم الإصلاح في الكود (تحويل http إلى https + HSTS) ويُفعَّل بعد رفع الكود (git push). الموقع الحالي ما زال يفتح على http.</t>
  </si>
  <si>
    <t>SEC-05</t>
  </si>
  <si>
    <t>صور إثبات الحوالات غير عامة</t>
  </si>
  <si>
    <t>حوالة بصورة</t>
  </si>
  <si>
    <t>1. انسخ رابط الصورة وافتحه بدون دخول</t>
  </si>
  <si>
    <t>لا تفتح</t>
  </si>
  <si>
    <t>Transfer_proofs_are_not_served_without_signing_in</t>
  </si>
  <si>
    <t>CON-01</t>
  </si>
  <si>
    <t>التزامن وسلامة البيانات</t>
  </si>
  <si>
    <t>جهازان يبيعان آخر قطعة بنفس اللحظة</t>
  </si>
  <si>
    <t>منتج كميته 1 وجهازان</t>
  </si>
  <si>
    <t>1. أضف المنتج على الجهازين
2. اعتمد في نفس اللحظة</t>
  </si>
  <si>
    <t>تنجح فاتورة واحدة والثانية «الكمية غير متوفرة»، والكمية لا تصبح سالبة</t>
  </si>
  <si>
    <t>Two_tills_selling_the_last_unit_at_once_only_one_succeeds</t>
  </si>
  <si>
    <t>4 أجهزة بنفس اللحظة: نجحت واحدة، والكمية 0 (ليست سالبة)</t>
  </si>
  <si>
    <t>CON-02</t>
  </si>
  <si>
    <t>أرقام الفواتير متسلسلة بدون تكرار</t>
  </si>
  <si>
    <t>عدة أجهزة</t>
  </si>
  <si>
    <t>1. بيع من أكثر من جهاز</t>
  </si>
  <si>
    <t>INV-2026-000001، 000002… بدون تكرار أو فجوات</t>
  </si>
  <si>
    <t>Concurrent_allocations_never_produce_duplicates_or_gaps</t>
  </si>
  <si>
    <t>أرقام متتالية بدون تكرار: INV-2026-000015، INV-2026-000016، INV-2026-000017، INV-2026-000018، INV-2026-000019، INV-2026-000020</t>
  </si>
  <si>
    <t>CON-03</t>
  </si>
  <si>
    <t>انقطاع النت أثناء الاعتماد</t>
  </si>
  <si>
    <t>1. اعتمد ثم افصل النت فورًا
2. أعد المحاولة</t>
  </si>
  <si>
    <t>لا تتكرر الفاتورة</t>
  </si>
  <si>
    <t>Repeating_a_request_with_the_same_key_applies_it_once</t>
  </si>
  <si>
    <t>إعادة الإرسال بنفس المفتاح أعادت نفس الفاتورة INV-2026-000021</t>
  </si>
  <si>
    <t>CON-04</t>
  </si>
  <si>
    <t>رصيد الحساب = مجموع حركاته دائمًا</t>
  </si>
  <si>
    <t>حركات كثيرة</t>
  </si>
  <si>
    <t>1. قارن رصيد الحساب بآخر رصيد في كشفه</t>
  </si>
  <si>
    <t>متطابقان</t>
  </si>
  <si>
    <t>6 حسابات: الرصيد = آخر رصيد في الكشف</t>
  </si>
  <si>
    <t>حالات اختبار نظام معرض قويدر</t>
  </si>
  <si>
    <t>الهدف</t>
  </si>
  <si>
    <t>التأكد من أن كل أقسام النظام تعمل كما هو متوقع قبل الاعتماد عليه في العمل اليومي.</t>
  </si>
  <si>
    <t>عدد الحالات</t>
  </si>
  <si>
    <t>149 حالة في 20 قسمًا.</t>
  </si>
  <si>
    <t>طريقة الاستخدام</t>
  </si>
  <si>
    <t>1) افتح ورقة «حالات الاختبار».
2) نفّذ خطوات كل حالة بالدور المذكور.
3) اختر النتيجة من القائمة واكتب ما حدث فعلًا إذا اختلف.
4) راجع ورقة «الملخص» لمعرفة نسبة الإنجاز والنجاح.</t>
  </si>
  <si>
    <t>الخانات التي تعبّئها</t>
  </si>
  <si>
    <t>الخانات الصفراء فقط: النتيجة، النتيجة الفعلية / الملاحظات، المُختبِر، تاريخ الاختبار. باقي الأعمدة ثابتة.</t>
  </si>
  <si>
    <t>قيم «النتيجة»</t>
  </si>
  <si>
    <t>نجح: النتيجة مطابقة للمتوقع.  فشل: النتيجة مختلفة (اكتب ما حدث).  محجوب: لا يمكن التنفيذ الآن (مثلًا لا يوجد آيفون).  لم يُختبر: لم تُنفّذ بعد.</t>
  </si>
  <si>
    <t>مثال تعبئة</t>
  </si>
  <si>
    <t>النتيجة: فشل  |  النتيجة الفعلية: «الفاتورة بقيت آجل بعد تأكيد الحوالة»  |  المُختبِر: محمد  |  التاريخ: 2026-10-26</t>
  </si>
  <si>
    <t>«نعم» تعني أن هذه الحالة يفحصها أيضًا اختبار آلي يعمل مع كل تعديل على الكود (اسمه في عمود «الاختبار الآلي»). الاختبار اليدوي يبقى مطلوبًا للتأكد من الشاشات على أجهزتك.</t>
  </si>
  <si>
    <t>الأدوار</t>
  </si>
  <si>
    <t>مدير النظام، مدير المعرض، موظف مبيعات، أمين مخزن، محاسب، مشاهد. أنشئ مستخدمًا تجريبيًا لكل دور قبل البدء.</t>
  </si>
  <si>
    <t>تحذير</t>
  </si>
  <si>
    <t>حالات «تصفير النظام» تمسح البيانات نهائيًا: نفّذها فقط على نسخة تجريبية أو قبل إدخال بيانات حقيقية.</t>
  </si>
  <si>
    <t>ترقيم الحالات</t>
  </si>
  <si>
    <t>رمز القسم + رقم، مثل POS-03 = الحالة الثالثة في نقطة البيع.</t>
  </si>
  <si>
    <t>الأقسام</t>
  </si>
  <si>
    <t>AUTH</t>
  </si>
  <si>
    <t>تسجيل الدخول والحساب — 10 حالة</t>
  </si>
  <si>
    <t>USR</t>
  </si>
  <si>
    <t>المستخدمون والأدوار والصلاحيات — 10 حالة</t>
  </si>
  <si>
    <t>SET</t>
  </si>
  <si>
    <t>الإعدادات وسجل العمليات والتصفير — 9 حالة</t>
  </si>
  <si>
    <t>CAT</t>
  </si>
  <si>
    <t>الأصناف — 4 حالة</t>
  </si>
  <si>
    <t>PRD</t>
  </si>
  <si>
    <t>المنتجات والباركود — 14 حالة</t>
  </si>
  <si>
    <t>INV</t>
  </si>
  <si>
    <t>المخزون والجرد — 6 حالة</t>
  </si>
  <si>
    <t>PUR</t>
  </si>
  <si>
    <t>الموردون والمشتريات — 7 حالة</t>
  </si>
  <si>
    <t>POS</t>
  </si>
  <si>
    <t>نقطة البيع — 16 حالة</t>
  </si>
  <si>
    <t>SAL</t>
  </si>
  <si>
    <t>فواتير المبيعات والمرتجعات — 11 حالة</t>
  </si>
  <si>
    <t>CUS</t>
  </si>
  <si>
    <t>العملاء والديون — 5 حالة</t>
  </si>
  <si>
    <t>TRF</t>
  </si>
  <si>
    <t>الحوالات — 6 حالة</t>
  </si>
  <si>
    <t>ACC</t>
  </si>
  <si>
    <t>الحسابات المالية والتحويلات — 5 حالة</t>
  </si>
  <si>
    <t>VOU</t>
  </si>
  <si>
    <t>السندات والمصروفات — 6 حالة</t>
  </si>
  <si>
    <t>RPT</t>
  </si>
  <si>
    <t>التقارير ولوحة التحكم — 9 حالة</t>
  </si>
  <si>
    <t>SRC</t>
  </si>
  <si>
    <t>البحث والتنبيهات — 2 حالة</t>
  </si>
  <si>
    <t>PSH</t>
  </si>
  <si>
    <t>إشعارات الجوال — 9 حالة</t>
  </si>
  <si>
    <t>PRN</t>
  </si>
  <si>
    <t>الطباعة والمشاركة — 4 حالة</t>
  </si>
  <si>
    <t>PWA</t>
  </si>
  <si>
    <t>تطبيق الجوال واللابتوب — 7 حالة</t>
  </si>
  <si>
    <t>SEC</t>
  </si>
  <si>
    <t>الأمان وحماية البيانات — 5 حالة</t>
  </si>
  <si>
    <t>CON</t>
  </si>
  <si>
    <t>التزامن وسلامة البيانات — 4 حالة</t>
  </si>
  <si>
    <t>ملخص نتائج الاختبار — نظام معرض قويدر</t>
  </si>
  <si>
    <t>يتحدث تلقائيًا من عمود «النتيجة» في ورقة «حالات الاختبار».</t>
  </si>
  <si>
    <t>لم يُختبر</t>
  </si>
  <si>
    <t>نسبة الإنجاز</t>
  </si>
  <si>
    <t>نسبة النجاح</t>
  </si>
  <si>
    <t>الإجمالي</t>
  </si>
  <si>
    <t>حسب الأولوية</t>
  </si>
  <si>
    <t>جاهز للتشغيل الفعلي عندما: كل حالات الأولوية «عالية» = نجح، ولا يوجد «فشل» مفتوح.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</si>
</sst>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color rgb="FF1F2A2A"/>
      <name val="Arial"/>
    </font>
    <font>
      <sz val="10"/>
      <color rgb="FF6B7B7B"/>
      <name val="Arial"/>
    </font>
    <font>
      <b/>
      <sz val="14"/>
      <color rgb="FF0F5F5A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2"/>
      <color rgb="FF0F5F5A"/>
      <name val="Arial"/>
    </font>
    <font>
      <b/>
      <sz val="16"/>
      <color rgb="FF0F5F5A"/>
      <name val="Arial"/>
    </font>
    <font>
      <b/>
      <sz val="11"/>
      <color rgb="FF0F5F5A"/>
      <name val="Arial"/>
    </font>
    <font>
      <sz val="11"/>
      <color rgb="FF1F2A2A"/>
      <name val="Arial"/>
    </font>
    <font>
      <b/>
      <sz val="11"/>
      <color rgb="FFB42318"/>
      <name val="Arial"/>
    </font>
  </fonts>
  <fills count="5">
    <fill>
      <patternFill patternType="none"/>
    </fill>
    <fill>
      <patternFill patternType="gray125"/>
    </fill>
    <fill>
      <patternFill patternType="solid">
        <fgColor rgb="FF0F5F5A"/>
      </patternFill>
    </fill>
    <fill>
      <patternFill patternType="solid">
        <fgColor rgb="FFFFF7D6"/>
      </patternFill>
    </fill>
    <fill>
      <patternFill patternType="solid">
        <fgColor rgb="FFF2F6F6"/>
      </patternFill>
    </fill>
  </fills>
  <borders count="2">
    <border>
      <left/>
      <right/>
      <top/>
      <bottom/>
      <diagonal/>
    </border>
    <border>
      <left style="thin">
        <color rgb="FFD0D7D7"/>
      </left>
      <right style="thin">
        <color rgb="FFD0D7D7"/>
      </right>
      <top style="thin">
        <color rgb="FFD0D7D7"/>
      </top>
      <bottom style="thin">
        <color rgb="FFD0D7D7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9" fillId="0" borderId="0" xfId="0" applyFont="1"/>
    <xf numFmtId="0" fontId="10" fillId="0" borderId="0" xfId="0" applyFont="1" applyAlignment="1">
      <alignment horizontal="right" vertical="top" wrapText="1" readingOrder="2"/>
    </xf>
    <xf numFmtId="0" fontId="11" fillId="0" borderId="0" xfId="0" applyFont="1" applyAlignment="1">
      <alignment horizontal="right" vertical="top" wrapText="1" readingOrder="2"/>
    </xf>
    <xf numFmtId="0" fontId="11" fillId="3" borderId="0" xfId="0" applyFont="1" applyFill="1" applyAlignment="1">
      <alignment horizontal="right" vertical="top" wrapText="1" readingOrder="2"/>
    </xf>
    <xf numFmtId="0" fontId="12" fillId="0" borderId="0" xfId="0" applyFont="1" applyAlignment="1">
      <alignment horizontal="right" vertical="top" wrapText="1" readingOrder="2"/>
    </xf>
    <xf numFmtId="0" fontId="8" fillId="0" borderId="0" xfId="0" applyFont="1"/>
    <xf numFmtId="0" fontId="7" fillId="0" borderId="0" xfId="0" applyFont="1" applyAlignment="1">
      <alignment horizontal="center" vertical="top" wrapText="1" readingOrder="2"/>
    </xf>
    <xf numFmtId="0" fontId="6" fillId="0" borderId="0" xfId="0" applyFont="1" applyAlignment="1">
      <alignment horizontal="right" vertical="top" wrapText="1" readingOrder="2"/>
    </xf>
    <xf numFmtId="0" fontId="1" fillId="2" borderId="1" xfId="0" applyFont="1" applyFill="1" applyBorder="1" applyAlignment="1">
      <alignment horizontal="center" vertical="top" wrapText="1" readingOrder="2"/>
    </xf>
    <xf numFmtId="0" fontId="2" fillId="0" borderId="1" xfId="0" applyFont="1" applyBorder="1" applyAlignment="1">
      <alignment horizontal="center" vertical="top" wrapText="1" readingOrder="2"/>
    </xf>
    <xf numFmtId="0" fontId="2" fillId="0" borderId="1" xfId="0" applyFont="1" applyBorder="1" applyAlignment="1">
      <alignment horizontal="right" vertical="top" wrapText="1" readingOrder="2"/>
    </xf>
    <xf numFmtId="0" fontId="3" fillId="0" borderId="1" xfId="0" applyFont="1" applyBorder="1" applyAlignment="1">
      <alignment horizontal="right" vertical="top" wrapText="1" readingOrder="2"/>
    </xf>
    <xf numFmtId="0" fontId="2" fillId="3" borderId="1" xfId="0" applyFont="1" applyFill="1" applyBorder="1" applyAlignment="1">
      <alignment horizontal="center" vertical="top" wrapText="1" readingOrder="2"/>
    </xf>
    <xf numFmtId="0" fontId="2" fillId="3" borderId="1" xfId="0" applyFont="1" applyFill="1" applyBorder="1" applyAlignment="1">
      <alignment horizontal="right" vertical="top" wrapText="1" readingOrder="2"/>
    </xf>
    <xf numFmtId="164" fontId="2" fillId="3" borderId="1" xfId="0" applyNumberFormat="1" applyFont="1" applyFill="1" applyBorder="1" applyAlignment="1">
      <alignment horizontal="center" vertical="top" wrapText="1" readingOrder="2"/>
    </xf>
    <xf numFmtId="0" fontId="4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center" vertical="top" wrapText="1" readingOrder="2"/>
    </xf>
    <xf numFmtId="0" fontId="6" fillId="0" borderId="1" xfId="0" applyFont="1" applyBorder="1" applyAlignment="1">
      <alignment horizontal="right" vertical="top" wrapText="1" readingOrder="2"/>
    </xf>
    <xf numFmtId="0" fontId="6" fillId="0" borderId="1" xfId="0" applyFont="1" applyBorder="1" applyAlignment="1">
      <alignment horizontal="center" vertical="top" wrapText="1" readingOrder="2"/>
    </xf>
    <xf numFmtId="9" fontId="6" fillId="0" borderId="1" xfId="0" applyNumberFormat="1" applyFont="1" applyBorder="1" applyAlignment="1">
      <alignment horizontal="center" vertical="top" wrapText="1" readingOrder="2"/>
    </xf>
    <xf numFmtId="0" fontId="7" fillId="4" borderId="1" xfId="0" applyFont="1" applyFill="1" applyBorder="1" applyAlignment="1">
      <alignment horizontal="right" vertical="top" wrapText="1" readingOrder="2"/>
    </xf>
    <xf numFmtId="0" fontId="7" fillId="4" borderId="1" xfId="0" applyFont="1" applyFill="1" applyBorder="1" applyAlignment="1">
      <alignment horizontal="center" vertical="top" wrapText="1" readingOrder="2"/>
    </xf>
    <xf numFmtId="9" fontId="7" fillId="4" borderId="1" xfId="0" applyNumberFormat="1" applyFont="1" applyFill="1" applyBorder="1" applyAlignment="1">
      <alignment horizontal="center" vertical="top" wrapText="1" readingOrder="2"/>
    </xf>
    <xf numFmtId="0" fontId="7" fillId="0" borderId="0" xfId="0" applyFont="1"/>
  </cellXfs>
  <cellStyles count="1">
    <cellStyle name="Normal" xfId="0" builtinId="0"/>
  </cellStyles>
  <dxfs count="4">
    <dxf>
      <font>
        <b/>
        <color rgb="FF9A6700"/>
        <name val="Arial"/>
      </font>
      <fill>
        <patternFill patternType="solid">
          <fgColor rgb="FFFFF1D6"/>
        </patternFill>
      </fill>
    </dxf>
    <dxf>
      <font>
        <b/>
        <color rgb="FFB42318"/>
        <name val="Arial"/>
      </font>
      <fill>
        <patternFill patternType="solid">
          <fgColor rgb="FFFDE2E1"/>
        </patternFill>
      </fill>
    </dxf>
    <dxf>
      <font>
        <b/>
        <color rgb="FF146C43"/>
        <name val="Arial"/>
      </font>
      <fill>
        <patternFill patternType="solid">
          <fgColor rgb="FFDCF5E7"/>
        </patternFill>
      </fill>
    </dxf>
    <dxf>
      <font>
        <b/>
        <color rgb="FFB42318"/>
        <name val="Arial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rightToLeft="1" workbookViewId="0"/>
  </sheetViews>
  <sheetFormatPr defaultRowHeight="15" x14ac:dyDescent="0.25"/>
  <cols>
    <col min="1" max="1" width="26" customWidth="1"/>
    <col min="2" max="2" width="90" customWidth="1"/>
  </cols>
  <sheetData>
    <row r="1" spans="1:2" ht="27.95" customHeight="1" x14ac:dyDescent="0.3">
      <c r="A1" s="1" t="s">
        <v>911</v>
      </c>
    </row>
    <row r="3" spans="1:2" ht="21.95" customHeight="1" x14ac:dyDescent="0.25">
      <c r="A3" s="2" t="s">
        <v>912</v>
      </c>
      <c r="B3" s="3" t="s">
        <v>913</v>
      </c>
    </row>
    <row r="4" spans="1:2" ht="21.95" customHeight="1" x14ac:dyDescent="0.25">
      <c r="A4" s="2" t="s">
        <v>914</v>
      </c>
      <c r="B4" s="3" t="s">
        <v>915</v>
      </c>
    </row>
    <row r="5" spans="1:2" ht="90" customHeight="1" x14ac:dyDescent="0.25">
      <c r="A5" s="2" t="s">
        <v>916</v>
      </c>
      <c r="B5" s="3" t="s">
        <v>917</v>
      </c>
    </row>
    <row r="6" spans="1:2" ht="36" customHeight="1" x14ac:dyDescent="0.25">
      <c r="A6" s="2" t="s">
        <v>918</v>
      </c>
      <c r="B6" s="4" t="s">
        <v>919</v>
      </c>
    </row>
    <row r="7" spans="1:2" ht="36" customHeight="1" x14ac:dyDescent="0.25">
      <c r="A7" s="2" t="s">
        <v>920</v>
      </c>
      <c r="B7" s="3" t="s">
        <v>921</v>
      </c>
    </row>
    <row r="8" spans="1:2" ht="36" customHeight="1" x14ac:dyDescent="0.25">
      <c r="A8" s="2" t="s">
        <v>922</v>
      </c>
      <c r="B8" s="4" t="s">
        <v>923</v>
      </c>
    </row>
    <row r="9" spans="1:2" ht="36" customHeight="1" x14ac:dyDescent="0.25">
      <c r="A9" s="2" t="s">
        <v>8</v>
      </c>
      <c r="B9" s="3" t="s">
        <v>924</v>
      </c>
    </row>
    <row r="10" spans="1:2" ht="36" customHeight="1" x14ac:dyDescent="0.25">
      <c r="A10" s="2" t="s">
        <v>925</v>
      </c>
      <c r="B10" s="3" t="s">
        <v>926</v>
      </c>
    </row>
    <row r="11" spans="1:2" ht="36" customHeight="1" x14ac:dyDescent="0.25">
      <c r="A11" s="2" t="s">
        <v>927</v>
      </c>
      <c r="B11" s="5" t="s">
        <v>928</v>
      </c>
    </row>
    <row r="12" spans="1:2" ht="21.95" customHeight="1" x14ac:dyDescent="0.25">
      <c r="A12" s="2" t="s">
        <v>929</v>
      </c>
      <c r="B12" s="3" t="s">
        <v>930</v>
      </c>
    </row>
    <row r="14" spans="1:2" ht="15.75" x14ac:dyDescent="0.25">
      <c r="A14" s="6" t="s">
        <v>931</v>
      </c>
    </row>
    <row r="15" spans="1:2" x14ac:dyDescent="0.25">
      <c r="A15" s="7" t="s">
        <v>932</v>
      </c>
      <c r="B15" s="8" t="s">
        <v>933</v>
      </c>
    </row>
    <row r="16" spans="1:2" x14ac:dyDescent="0.25">
      <c r="A16" s="7" t="s">
        <v>934</v>
      </c>
      <c r="B16" s="8" t="s">
        <v>935</v>
      </c>
    </row>
    <row r="17" spans="1:2" x14ac:dyDescent="0.25">
      <c r="A17" s="7" t="s">
        <v>936</v>
      </c>
      <c r="B17" s="8" t="s">
        <v>937</v>
      </c>
    </row>
    <row r="18" spans="1:2" x14ac:dyDescent="0.25">
      <c r="A18" s="7" t="s">
        <v>938</v>
      </c>
      <c r="B18" s="8" t="s">
        <v>939</v>
      </c>
    </row>
    <row r="19" spans="1:2" x14ac:dyDescent="0.25">
      <c r="A19" s="7" t="s">
        <v>940</v>
      </c>
      <c r="B19" s="8" t="s">
        <v>941</v>
      </c>
    </row>
    <row r="20" spans="1:2" x14ac:dyDescent="0.25">
      <c r="A20" s="7" t="s">
        <v>942</v>
      </c>
      <c r="B20" s="8" t="s">
        <v>943</v>
      </c>
    </row>
    <row r="21" spans="1:2" x14ac:dyDescent="0.25">
      <c r="A21" s="7" t="s">
        <v>944</v>
      </c>
      <c r="B21" s="8" t="s">
        <v>945</v>
      </c>
    </row>
    <row r="22" spans="1:2" x14ac:dyDescent="0.25">
      <c r="A22" s="7" t="s">
        <v>946</v>
      </c>
      <c r="B22" s="8" t="s">
        <v>947</v>
      </c>
    </row>
    <row r="23" spans="1:2" x14ac:dyDescent="0.25">
      <c r="A23" s="7" t="s">
        <v>948</v>
      </c>
      <c r="B23" s="8" t="s">
        <v>949</v>
      </c>
    </row>
    <row r="24" spans="1:2" x14ac:dyDescent="0.25">
      <c r="A24" s="7" t="s">
        <v>950</v>
      </c>
      <c r="B24" s="8" t="s">
        <v>951</v>
      </c>
    </row>
    <row r="25" spans="1:2" x14ac:dyDescent="0.25">
      <c r="A25" s="7" t="s">
        <v>952</v>
      </c>
      <c r="B25" s="8" t="s">
        <v>953</v>
      </c>
    </row>
    <row r="26" spans="1:2" x14ac:dyDescent="0.25">
      <c r="A26" s="7" t="s">
        <v>954</v>
      </c>
      <c r="B26" s="8" t="s">
        <v>955</v>
      </c>
    </row>
    <row r="27" spans="1:2" x14ac:dyDescent="0.25">
      <c r="A27" s="7" t="s">
        <v>956</v>
      </c>
      <c r="B27" s="8" t="s">
        <v>957</v>
      </c>
    </row>
    <row r="28" spans="1:2" x14ac:dyDescent="0.25">
      <c r="A28" s="7" t="s">
        <v>958</v>
      </c>
      <c r="B28" s="8" t="s">
        <v>959</v>
      </c>
    </row>
    <row r="29" spans="1:2" x14ac:dyDescent="0.25">
      <c r="A29" s="7" t="s">
        <v>960</v>
      </c>
      <c r="B29" s="8" t="s">
        <v>961</v>
      </c>
    </row>
    <row r="30" spans="1:2" x14ac:dyDescent="0.25">
      <c r="A30" s="7" t="s">
        <v>962</v>
      </c>
      <c r="B30" s="8" t="s">
        <v>963</v>
      </c>
    </row>
    <row r="31" spans="1:2" x14ac:dyDescent="0.25">
      <c r="A31" s="7" t="s">
        <v>964</v>
      </c>
      <c r="B31" s="8" t="s">
        <v>965</v>
      </c>
    </row>
    <row r="32" spans="1:2" x14ac:dyDescent="0.25">
      <c r="A32" s="7" t="s">
        <v>966</v>
      </c>
      <c r="B32" s="8" t="s">
        <v>967</v>
      </c>
    </row>
    <row r="33" spans="1:2" x14ac:dyDescent="0.25">
      <c r="A33" s="7" t="s">
        <v>968</v>
      </c>
      <c r="B33" s="8" t="s">
        <v>969</v>
      </c>
    </row>
    <row r="34" spans="1:2" x14ac:dyDescent="0.25">
      <c r="A34" s="7" t="s">
        <v>970</v>
      </c>
      <c r="B34" s="8" t="s">
        <v>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0"/>
  <sheetViews>
    <sheetView rightToLeft="1" tabSelected="1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22" customWidth="1"/>
    <col min="3" max="3" width="34" customWidth="1"/>
    <col min="4" max="4" width="14" customWidth="1"/>
    <col min="5" max="5" width="26" customWidth="1"/>
    <col min="6" max="7" width="46" customWidth="1"/>
    <col min="8" max="9" width="9" customWidth="1"/>
    <col min="10" max="10" width="30" customWidth="1"/>
    <col min="11" max="11" width="12" customWidth="1"/>
    <col min="12" max="12" width="34" customWidth="1"/>
    <col min="13" max="14" width="14" customWidth="1"/>
  </cols>
  <sheetData>
    <row r="1" spans="1:14" ht="30" customHeigh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</row>
    <row r="2" spans="1:14" ht="38.25" x14ac:dyDescent="0.25">
      <c r="A2" s="10" t="s">
        <v>14</v>
      </c>
      <c r="B2" s="11" t="s">
        <v>15</v>
      </c>
      <c r="C2" s="11" t="s">
        <v>16</v>
      </c>
      <c r="D2" s="10" t="s">
        <v>17</v>
      </c>
      <c r="E2" s="11" t="s">
        <v>18</v>
      </c>
      <c r="F2" s="11" t="s">
        <v>19</v>
      </c>
      <c r="G2" s="11" t="s">
        <v>20</v>
      </c>
      <c r="H2" s="10" t="s">
        <v>21</v>
      </c>
      <c r="I2" s="10" t="s">
        <v>22</v>
      </c>
      <c r="J2" s="12" t="s">
        <v>23</v>
      </c>
      <c r="K2" s="13" t="s">
        <v>24</v>
      </c>
      <c r="L2" s="14" t="s">
        <v>25</v>
      </c>
      <c r="M2" s="13" t="s">
        <v>26</v>
      </c>
      <c r="N2" s="15">
        <v>46321</v>
      </c>
    </row>
    <row r="3" spans="1:14" ht="25.5" x14ac:dyDescent="0.25">
      <c r="A3" s="10" t="s">
        <v>27</v>
      </c>
      <c r="B3" s="11" t="s">
        <v>15</v>
      </c>
      <c r="C3" s="11" t="s">
        <v>28</v>
      </c>
      <c r="D3" s="10" t="s">
        <v>17</v>
      </c>
      <c r="E3" s="11" t="s">
        <v>29</v>
      </c>
      <c r="F3" s="11" t="s">
        <v>30</v>
      </c>
      <c r="G3" s="11" t="s">
        <v>31</v>
      </c>
      <c r="H3" s="10" t="s">
        <v>21</v>
      </c>
      <c r="I3" s="10" t="s">
        <v>22</v>
      </c>
      <c r="J3" s="12" t="s">
        <v>32</v>
      </c>
      <c r="K3" s="13" t="s">
        <v>24</v>
      </c>
      <c r="L3" s="14" t="s">
        <v>25</v>
      </c>
      <c r="M3" s="13" t="s">
        <v>26</v>
      </c>
      <c r="N3" s="15">
        <v>46321</v>
      </c>
    </row>
    <row r="4" spans="1:14" ht="25.5" x14ac:dyDescent="0.25">
      <c r="A4" s="10" t="s">
        <v>33</v>
      </c>
      <c r="B4" s="11" t="s">
        <v>15</v>
      </c>
      <c r="C4" s="11" t="s">
        <v>34</v>
      </c>
      <c r="D4" s="10" t="s">
        <v>17</v>
      </c>
      <c r="E4" s="11" t="s">
        <v>35</v>
      </c>
      <c r="F4" s="11" t="s">
        <v>36</v>
      </c>
      <c r="G4" s="11" t="s">
        <v>37</v>
      </c>
      <c r="H4" s="10" t="s">
        <v>38</v>
      </c>
      <c r="I4" s="10" t="s">
        <v>22</v>
      </c>
      <c r="J4" s="12" t="s">
        <v>39</v>
      </c>
      <c r="K4" s="13" t="s">
        <v>24</v>
      </c>
      <c r="L4" s="14" t="s">
        <v>40</v>
      </c>
      <c r="M4" s="13" t="s">
        <v>26</v>
      </c>
      <c r="N4" s="15">
        <v>46321</v>
      </c>
    </row>
    <row r="5" spans="1:14" ht="25.5" x14ac:dyDescent="0.25">
      <c r="A5" s="10" t="s">
        <v>41</v>
      </c>
      <c r="B5" s="11" t="s">
        <v>15</v>
      </c>
      <c r="C5" s="11" t="s">
        <v>42</v>
      </c>
      <c r="D5" s="10" t="s">
        <v>17</v>
      </c>
      <c r="E5" s="11" t="s">
        <v>43</v>
      </c>
      <c r="F5" s="11" t="s">
        <v>44</v>
      </c>
      <c r="G5" s="11" t="s">
        <v>45</v>
      </c>
      <c r="H5" s="10" t="s">
        <v>21</v>
      </c>
      <c r="I5" s="10" t="s">
        <v>22</v>
      </c>
      <c r="J5" s="12" t="s">
        <v>46</v>
      </c>
      <c r="K5" s="13" t="s">
        <v>24</v>
      </c>
      <c r="L5" s="14" t="s">
        <v>25</v>
      </c>
      <c r="M5" s="13" t="s">
        <v>26</v>
      </c>
      <c r="N5" s="15">
        <v>46321</v>
      </c>
    </row>
    <row r="6" spans="1:14" ht="38.25" x14ac:dyDescent="0.25">
      <c r="A6" s="10" t="s">
        <v>47</v>
      </c>
      <c r="B6" s="11" t="s">
        <v>15</v>
      </c>
      <c r="C6" s="11" t="s">
        <v>48</v>
      </c>
      <c r="D6" s="10" t="s">
        <v>17</v>
      </c>
      <c r="E6" s="11" t="s">
        <v>49</v>
      </c>
      <c r="F6" s="11" t="s">
        <v>50</v>
      </c>
      <c r="G6" s="11" t="s">
        <v>51</v>
      </c>
      <c r="H6" s="10" t="s">
        <v>38</v>
      </c>
      <c r="I6" s="10" t="s">
        <v>22</v>
      </c>
      <c r="J6" s="12" t="s">
        <v>52</v>
      </c>
      <c r="K6" s="13" t="s">
        <v>24</v>
      </c>
      <c r="L6" s="14" t="s">
        <v>25</v>
      </c>
      <c r="M6" s="13" t="s">
        <v>26</v>
      </c>
      <c r="N6" s="15">
        <v>46321</v>
      </c>
    </row>
    <row r="7" spans="1:14" ht="38.25" x14ac:dyDescent="0.25">
      <c r="A7" s="10" t="s">
        <v>53</v>
      </c>
      <c r="B7" s="11" t="s">
        <v>15</v>
      </c>
      <c r="C7" s="11" t="s">
        <v>54</v>
      </c>
      <c r="D7" s="10" t="s">
        <v>17</v>
      </c>
      <c r="E7" s="11" t="s">
        <v>49</v>
      </c>
      <c r="F7" s="11" t="s">
        <v>55</v>
      </c>
      <c r="G7" s="11" t="s">
        <v>56</v>
      </c>
      <c r="H7" s="10" t="s">
        <v>21</v>
      </c>
      <c r="I7" s="10" t="s">
        <v>22</v>
      </c>
      <c r="J7" s="12" t="s">
        <v>57</v>
      </c>
      <c r="K7" s="13" t="s">
        <v>24</v>
      </c>
      <c r="L7" s="14" t="s">
        <v>58</v>
      </c>
      <c r="M7" s="13" t="s">
        <v>26</v>
      </c>
      <c r="N7" s="15">
        <v>46321</v>
      </c>
    </row>
    <row r="8" spans="1:14" ht="25.5" x14ac:dyDescent="0.25">
      <c r="A8" s="10" t="s">
        <v>59</v>
      </c>
      <c r="B8" s="11" t="s">
        <v>15</v>
      </c>
      <c r="C8" s="11" t="s">
        <v>60</v>
      </c>
      <c r="D8" s="10" t="s">
        <v>17</v>
      </c>
      <c r="E8" s="11" t="s">
        <v>49</v>
      </c>
      <c r="F8" s="11" t="s">
        <v>61</v>
      </c>
      <c r="G8" s="11" t="s">
        <v>62</v>
      </c>
      <c r="H8" s="10" t="s">
        <v>38</v>
      </c>
      <c r="I8" s="10" t="s">
        <v>22</v>
      </c>
      <c r="J8" s="12" t="s">
        <v>63</v>
      </c>
      <c r="K8" s="13" t="s">
        <v>24</v>
      </c>
      <c r="L8" s="14" t="s">
        <v>64</v>
      </c>
      <c r="M8" s="13" t="s">
        <v>26</v>
      </c>
      <c r="N8" s="15">
        <v>46321</v>
      </c>
    </row>
    <row r="9" spans="1:14" ht="25.5" x14ac:dyDescent="0.25">
      <c r="A9" s="10" t="s">
        <v>65</v>
      </c>
      <c r="B9" s="11" t="s">
        <v>15</v>
      </c>
      <c r="C9" s="11" t="s">
        <v>66</v>
      </c>
      <c r="D9" s="10" t="s">
        <v>17</v>
      </c>
      <c r="E9" s="11" t="s">
        <v>49</v>
      </c>
      <c r="F9" s="11" t="s">
        <v>67</v>
      </c>
      <c r="G9" s="11" t="s">
        <v>68</v>
      </c>
      <c r="H9" s="10" t="s">
        <v>21</v>
      </c>
      <c r="I9" s="10" t="s">
        <v>22</v>
      </c>
      <c r="J9" s="12" t="s">
        <v>69</v>
      </c>
      <c r="K9" s="13" t="s">
        <v>24</v>
      </c>
      <c r="L9" s="14" t="s">
        <v>25</v>
      </c>
      <c r="M9" s="13" t="s">
        <v>26</v>
      </c>
      <c r="N9" s="15">
        <v>46321</v>
      </c>
    </row>
    <row r="10" spans="1:14" ht="25.5" x14ac:dyDescent="0.25">
      <c r="A10" s="10" t="s">
        <v>70</v>
      </c>
      <c r="B10" s="11" t="s">
        <v>15</v>
      </c>
      <c r="C10" s="11" t="s">
        <v>71</v>
      </c>
      <c r="D10" s="10" t="s">
        <v>17</v>
      </c>
      <c r="E10" s="11" t="s">
        <v>72</v>
      </c>
      <c r="F10" s="11" t="s">
        <v>73</v>
      </c>
      <c r="G10" s="11" t="s">
        <v>74</v>
      </c>
      <c r="H10" s="10" t="s">
        <v>21</v>
      </c>
      <c r="I10" s="10" t="s">
        <v>22</v>
      </c>
      <c r="J10" s="12" t="s">
        <v>75</v>
      </c>
      <c r="K10" s="13" t="s">
        <v>24</v>
      </c>
      <c r="L10" s="14" t="s">
        <v>25</v>
      </c>
      <c r="M10" s="13" t="s">
        <v>26</v>
      </c>
      <c r="N10" s="15">
        <v>46321</v>
      </c>
    </row>
    <row r="11" spans="1:14" ht="25.5" x14ac:dyDescent="0.25">
      <c r="A11" s="10" t="s">
        <v>76</v>
      </c>
      <c r="B11" s="11" t="s">
        <v>15</v>
      </c>
      <c r="C11" s="11" t="s">
        <v>77</v>
      </c>
      <c r="D11" s="10" t="s">
        <v>17</v>
      </c>
      <c r="E11" s="11" t="s">
        <v>29</v>
      </c>
      <c r="F11" s="11" t="s">
        <v>78</v>
      </c>
      <c r="G11" s="11" t="s">
        <v>79</v>
      </c>
      <c r="H11" s="10" t="s">
        <v>80</v>
      </c>
      <c r="I11" s="10" t="s">
        <v>81</v>
      </c>
      <c r="J11" s="12" t="s">
        <v>29</v>
      </c>
      <c r="K11" s="13" t="s">
        <v>24</v>
      </c>
      <c r="L11" s="14" t="s">
        <v>25</v>
      </c>
      <c r="M11" s="13" t="s">
        <v>26</v>
      </c>
      <c r="N11" s="15">
        <v>46321</v>
      </c>
    </row>
    <row r="12" spans="1:14" ht="38.25" x14ac:dyDescent="0.25">
      <c r="A12" s="10" t="s">
        <v>82</v>
      </c>
      <c r="B12" s="11" t="s">
        <v>83</v>
      </c>
      <c r="C12" s="11" t="s">
        <v>84</v>
      </c>
      <c r="D12" s="10" t="s">
        <v>85</v>
      </c>
      <c r="E12" s="11" t="s">
        <v>29</v>
      </c>
      <c r="F12" s="11" t="s">
        <v>86</v>
      </c>
      <c r="G12" s="11" t="s">
        <v>87</v>
      </c>
      <c r="H12" s="10" t="s">
        <v>21</v>
      </c>
      <c r="I12" s="10" t="s">
        <v>22</v>
      </c>
      <c r="J12" s="12" t="s">
        <v>57</v>
      </c>
      <c r="K12" s="13" t="s">
        <v>24</v>
      </c>
      <c r="L12" s="14" t="s">
        <v>25</v>
      </c>
      <c r="M12" s="13" t="s">
        <v>26</v>
      </c>
      <c r="N12" s="15">
        <v>46321</v>
      </c>
    </row>
    <row r="13" spans="1:14" ht="25.5" x14ac:dyDescent="0.25">
      <c r="A13" s="10" t="s">
        <v>88</v>
      </c>
      <c r="B13" s="11" t="s">
        <v>83</v>
      </c>
      <c r="C13" s="11" t="s">
        <v>89</v>
      </c>
      <c r="D13" s="10" t="s">
        <v>85</v>
      </c>
      <c r="E13" s="11" t="s">
        <v>90</v>
      </c>
      <c r="F13" s="11" t="s">
        <v>91</v>
      </c>
      <c r="G13" s="11" t="s">
        <v>92</v>
      </c>
      <c r="H13" s="10" t="s">
        <v>38</v>
      </c>
      <c r="I13" s="10" t="s">
        <v>22</v>
      </c>
      <c r="J13" s="12" t="s">
        <v>93</v>
      </c>
      <c r="K13" s="13" t="s">
        <v>24</v>
      </c>
      <c r="L13" s="14" t="s">
        <v>25</v>
      </c>
      <c r="M13" s="13" t="s">
        <v>26</v>
      </c>
      <c r="N13" s="15">
        <v>46321</v>
      </c>
    </row>
    <row r="14" spans="1:14" ht="25.5" x14ac:dyDescent="0.25">
      <c r="A14" s="10" t="s">
        <v>94</v>
      </c>
      <c r="B14" s="11" t="s">
        <v>83</v>
      </c>
      <c r="C14" s="11" t="s">
        <v>95</v>
      </c>
      <c r="D14" s="10" t="s">
        <v>85</v>
      </c>
      <c r="E14" s="11" t="s">
        <v>29</v>
      </c>
      <c r="F14" s="11" t="s">
        <v>96</v>
      </c>
      <c r="G14" s="11" t="s">
        <v>97</v>
      </c>
      <c r="H14" s="10" t="s">
        <v>21</v>
      </c>
      <c r="I14" s="10" t="s">
        <v>22</v>
      </c>
      <c r="J14" s="12" t="s">
        <v>98</v>
      </c>
      <c r="K14" s="13" t="s">
        <v>24</v>
      </c>
      <c r="L14" s="14" t="s">
        <v>99</v>
      </c>
      <c r="M14" s="13" t="s">
        <v>26</v>
      </c>
      <c r="N14" s="15">
        <v>46321</v>
      </c>
    </row>
    <row r="15" spans="1:14" ht="25.5" x14ac:dyDescent="0.25">
      <c r="A15" s="10" t="s">
        <v>100</v>
      </c>
      <c r="B15" s="11" t="s">
        <v>83</v>
      </c>
      <c r="C15" s="11" t="s">
        <v>101</v>
      </c>
      <c r="D15" s="10" t="s">
        <v>85</v>
      </c>
      <c r="E15" s="11" t="s">
        <v>102</v>
      </c>
      <c r="F15" s="11" t="s">
        <v>103</v>
      </c>
      <c r="G15" s="11" t="s">
        <v>104</v>
      </c>
      <c r="H15" s="10" t="s">
        <v>38</v>
      </c>
      <c r="I15" s="10" t="s">
        <v>81</v>
      </c>
      <c r="J15" s="12" t="s">
        <v>29</v>
      </c>
      <c r="K15" s="13" t="s">
        <v>24</v>
      </c>
      <c r="L15" s="14" t="s">
        <v>25</v>
      </c>
      <c r="M15" s="13" t="s">
        <v>26</v>
      </c>
      <c r="N15" s="15">
        <v>46321</v>
      </c>
    </row>
    <row r="16" spans="1:14" ht="38.25" x14ac:dyDescent="0.25">
      <c r="A16" s="10" t="s">
        <v>105</v>
      </c>
      <c r="B16" s="11" t="s">
        <v>83</v>
      </c>
      <c r="C16" s="11" t="s">
        <v>106</v>
      </c>
      <c r="D16" s="10" t="s">
        <v>85</v>
      </c>
      <c r="E16" s="11" t="s">
        <v>107</v>
      </c>
      <c r="F16" s="11" t="s">
        <v>108</v>
      </c>
      <c r="G16" s="11" t="s">
        <v>109</v>
      </c>
      <c r="H16" s="10" t="s">
        <v>21</v>
      </c>
      <c r="I16" s="10" t="s">
        <v>22</v>
      </c>
      <c r="J16" s="12" t="s">
        <v>110</v>
      </c>
      <c r="K16" s="13" t="s">
        <v>24</v>
      </c>
      <c r="L16" s="14" t="s">
        <v>25</v>
      </c>
      <c r="M16" s="13" t="s">
        <v>26</v>
      </c>
      <c r="N16" s="15">
        <v>46321</v>
      </c>
    </row>
    <row r="17" spans="1:14" ht="25.5" x14ac:dyDescent="0.25">
      <c r="A17" s="10" t="s">
        <v>111</v>
      </c>
      <c r="B17" s="11" t="s">
        <v>83</v>
      </c>
      <c r="C17" s="11" t="s">
        <v>112</v>
      </c>
      <c r="D17" s="10" t="s">
        <v>85</v>
      </c>
      <c r="E17" s="11" t="s">
        <v>29</v>
      </c>
      <c r="F17" s="11" t="s">
        <v>113</v>
      </c>
      <c r="G17" s="11" t="s">
        <v>114</v>
      </c>
      <c r="H17" s="10" t="s">
        <v>21</v>
      </c>
      <c r="I17" s="10" t="s">
        <v>22</v>
      </c>
      <c r="J17" s="12" t="s">
        <v>115</v>
      </c>
      <c r="K17" s="13" t="s">
        <v>24</v>
      </c>
      <c r="L17" s="14" t="s">
        <v>116</v>
      </c>
      <c r="M17" s="13" t="s">
        <v>26</v>
      </c>
      <c r="N17" s="15">
        <v>46321</v>
      </c>
    </row>
    <row r="18" spans="1:14" ht="38.25" x14ac:dyDescent="0.25">
      <c r="A18" s="10" t="s">
        <v>117</v>
      </c>
      <c r="B18" s="11" t="s">
        <v>83</v>
      </c>
      <c r="C18" s="11" t="s">
        <v>118</v>
      </c>
      <c r="D18" s="10" t="s">
        <v>119</v>
      </c>
      <c r="E18" s="11" t="s">
        <v>29</v>
      </c>
      <c r="F18" s="11" t="s">
        <v>120</v>
      </c>
      <c r="G18" s="11" t="s">
        <v>121</v>
      </c>
      <c r="H18" s="10" t="s">
        <v>21</v>
      </c>
      <c r="I18" s="10" t="s">
        <v>22</v>
      </c>
      <c r="J18" s="12" t="s">
        <v>122</v>
      </c>
      <c r="K18" s="13" t="s">
        <v>24</v>
      </c>
      <c r="L18" s="14" t="s">
        <v>25</v>
      </c>
      <c r="M18" s="13" t="s">
        <v>26</v>
      </c>
      <c r="N18" s="15">
        <v>46321</v>
      </c>
    </row>
    <row r="19" spans="1:14" ht="25.5" x14ac:dyDescent="0.25">
      <c r="A19" s="10" t="s">
        <v>123</v>
      </c>
      <c r="B19" s="11" t="s">
        <v>83</v>
      </c>
      <c r="C19" s="11" t="s">
        <v>124</v>
      </c>
      <c r="D19" s="10" t="s">
        <v>119</v>
      </c>
      <c r="E19" s="11" t="s">
        <v>29</v>
      </c>
      <c r="F19" s="11" t="s">
        <v>125</v>
      </c>
      <c r="G19" s="11" t="s">
        <v>126</v>
      </c>
      <c r="H19" s="10" t="s">
        <v>21</v>
      </c>
      <c r="I19" s="10" t="s">
        <v>22</v>
      </c>
      <c r="J19" s="12" t="s">
        <v>127</v>
      </c>
      <c r="K19" s="13" t="s">
        <v>24</v>
      </c>
      <c r="L19" s="14" t="s">
        <v>25</v>
      </c>
      <c r="M19" s="13" t="s">
        <v>26</v>
      </c>
      <c r="N19" s="15">
        <v>46321</v>
      </c>
    </row>
    <row r="20" spans="1:14" ht="25.5" x14ac:dyDescent="0.25">
      <c r="A20" s="10" t="s">
        <v>128</v>
      </c>
      <c r="B20" s="11" t="s">
        <v>83</v>
      </c>
      <c r="C20" s="11" t="s">
        <v>129</v>
      </c>
      <c r="D20" s="10" t="s">
        <v>119</v>
      </c>
      <c r="E20" s="11" t="s">
        <v>29</v>
      </c>
      <c r="F20" s="11" t="s">
        <v>130</v>
      </c>
      <c r="G20" s="11" t="s">
        <v>131</v>
      </c>
      <c r="H20" s="10" t="s">
        <v>21</v>
      </c>
      <c r="I20" s="10" t="s">
        <v>22</v>
      </c>
      <c r="J20" s="12" t="s">
        <v>132</v>
      </c>
      <c r="K20" s="13" t="s">
        <v>24</v>
      </c>
      <c r="L20" s="14" t="s">
        <v>25</v>
      </c>
      <c r="M20" s="13" t="s">
        <v>26</v>
      </c>
      <c r="N20" s="15">
        <v>46321</v>
      </c>
    </row>
    <row r="21" spans="1:14" ht="25.5" x14ac:dyDescent="0.25">
      <c r="A21" s="10" t="s">
        <v>133</v>
      </c>
      <c r="B21" s="11" t="s">
        <v>83</v>
      </c>
      <c r="C21" s="11" t="s">
        <v>134</v>
      </c>
      <c r="D21" s="10" t="s">
        <v>135</v>
      </c>
      <c r="E21" s="11" t="s">
        <v>29</v>
      </c>
      <c r="F21" s="11" t="s">
        <v>136</v>
      </c>
      <c r="G21" s="11" t="s">
        <v>137</v>
      </c>
      <c r="H21" s="10" t="s">
        <v>38</v>
      </c>
      <c r="I21" s="10" t="s">
        <v>81</v>
      </c>
      <c r="J21" s="12" t="s">
        <v>29</v>
      </c>
      <c r="K21" s="13" t="s">
        <v>24</v>
      </c>
      <c r="L21" s="14" t="s">
        <v>25</v>
      </c>
      <c r="M21" s="13" t="s">
        <v>26</v>
      </c>
      <c r="N21" s="15">
        <v>46321</v>
      </c>
    </row>
    <row r="22" spans="1:14" ht="38.25" x14ac:dyDescent="0.25">
      <c r="A22" s="10" t="s">
        <v>138</v>
      </c>
      <c r="B22" s="11" t="s">
        <v>139</v>
      </c>
      <c r="C22" s="11" t="s">
        <v>140</v>
      </c>
      <c r="D22" s="10" t="s">
        <v>85</v>
      </c>
      <c r="E22" s="11" t="s">
        <v>29</v>
      </c>
      <c r="F22" s="11" t="s">
        <v>141</v>
      </c>
      <c r="G22" s="11" t="s">
        <v>142</v>
      </c>
      <c r="H22" s="10" t="s">
        <v>38</v>
      </c>
      <c r="I22" s="10" t="s">
        <v>22</v>
      </c>
      <c r="J22" s="12" t="s">
        <v>143</v>
      </c>
      <c r="K22" s="13" t="s">
        <v>24</v>
      </c>
      <c r="L22" s="14" t="s">
        <v>25</v>
      </c>
      <c r="M22" s="13" t="s">
        <v>26</v>
      </c>
      <c r="N22" s="15">
        <v>46321</v>
      </c>
    </row>
    <row r="23" spans="1:14" ht="38.25" x14ac:dyDescent="0.25">
      <c r="A23" s="10" t="s">
        <v>144</v>
      </c>
      <c r="B23" s="11" t="s">
        <v>139</v>
      </c>
      <c r="C23" s="11" t="s">
        <v>145</v>
      </c>
      <c r="D23" s="10" t="s">
        <v>85</v>
      </c>
      <c r="E23" s="11" t="s">
        <v>146</v>
      </c>
      <c r="F23" s="11" t="s">
        <v>147</v>
      </c>
      <c r="G23" s="11" t="s">
        <v>148</v>
      </c>
      <c r="H23" s="10" t="s">
        <v>21</v>
      </c>
      <c r="I23" s="10" t="s">
        <v>22</v>
      </c>
      <c r="J23" s="12" t="s">
        <v>149</v>
      </c>
      <c r="K23" s="13" t="s">
        <v>24</v>
      </c>
      <c r="L23" s="14" t="s">
        <v>150</v>
      </c>
      <c r="M23" s="13" t="s">
        <v>26</v>
      </c>
      <c r="N23" s="15">
        <v>46321</v>
      </c>
    </row>
    <row r="24" spans="1:14" ht="38.25" x14ac:dyDescent="0.25">
      <c r="A24" s="10" t="s">
        <v>151</v>
      </c>
      <c r="B24" s="11" t="s">
        <v>139</v>
      </c>
      <c r="C24" s="11" t="s">
        <v>152</v>
      </c>
      <c r="D24" s="10" t="s">
        <v>85</v>
      </c>
      <c r="E24" s="11" t="s">
        <v>153</v>
      </c>
      <c r="F24" s="11" t="s">
        <v>154</v>
      </c>
      <c r="G24" s="11" t="s">
        <v>155</v>
      </c>
      <c r="H24" s="10" t="s">
        <v>21</v>
      </c>
      <c r="I24" s="10" t="s">
        <v>22</v>
      </c>
      <c r="J24" s="12" t="s">
        <v>156</v>
      </c>
      <c r="K24" s="13" t="s">
        <v>24</v>
      </c>
      <c r="L24" s="14" t="s">
        <v>157</v>
      </c>
      <c r="M24" s="13" t="s">
        <v>26</v>
      </c>
      <c r="N24" s="15">
        <v>46321</v>
      </c>
    </row>
    <row r="25" spans="1:14" ht="25.5" x14ac:dyDescent="0.25">
      <c r="A25" s="10" t="s">
        <v>158</v>
      </c>
      <c r="B25" s="11" t="s">
        <v>139</v>
      </c>
      <c r="C25" s="11" t="s">
        <v>159</v>
      </c>
      <c r="D25" s="10" t="s">
        <v>85</v>
      </c>
      <c r="E25" s="11" t="s">
        <v>160</v>
      </c>
      <c r="F25" s="11" t="s">
        <v>161</v>
      </c>
      <c r="G25" s="11" t="s">
        <v>162</v>
      </c>
      <c r="H25" s="10" t="s">
        <v>21</v>
      </c>
      <c r="I25" s="10" t="s">
        <v>22</v>
      </c>
      <c r="J25" s="12" t="s">
        <v>163</v>
      </c>
      <c r="K25" s="13" t="s">
        <v>24</v>
      </c>
      <c r="L25" s="14" t="s">
        <v>25</v>
      </c>
      <c r="M25" s="13" t="s">
        <v>26</v>
      </c>
      <c r="N25" s="15">
        <v>46321</v>
      </c>
    </row>
    <row r="26" spans="1:14" ht="25.5" x14ac:dyDescent="0.25">
      <c r="A26" s="10" t="s">
        <v>164</v>
      </c>
      <c r="B26" s="11" t="s">
        <v>139</v>
      </c>
      <c r="C26" s="11" t="s">
        <v>165</v>
      </c>
      <c r="D26" s="10" t="s">
        <v>85</v>
      </c>
      <c r="E26" s="11" t="s">
        <v>29</v>
      </c>
      <c r="F26" s="11" t="s">
        <v>166</v>
      </c>
      <c r="G26" s="11" t="s">
        <v>167</v>
      </c>
      <c r="H26" s="10" t="s">
        <v>38</v>
      </c>
      <c r="I26" s="10" t="s">
        <v>22</v>
      </c>
      <c r="J26" s="12" t="s">
        <v>168</v>
      </c>
      <c r="K26" s="13" t="s">
        <v>24</v>
      </c>
      <c r="L26" s="14" t="s">
        <v>25</v>
      </c>
      <c r="M26" s="13" t="s">
        <v>26</v>
      </c>
      <c r="N26" s="15">
        <v>46321</v>
      </c>
    </row>
    <row r="27" spans="1:14" ht="25.5" x14ac:dyDescent="0.25">
      <c r="A27" s="10" t="s">
        <v>169</v>
      </c>
      <c r="B27" s="11" t="s">
        <v>139</v>
      </c>
      <c r="C27" s="11" t="s">
        <v>170</v>
      </c>
      <c r="D27" s="10" t="s">
        <v>171</v>
      </c>
      <c r="E27" s="11" t="s">
        <v>29</v>
      </c>
      <c r="F27" s="11" t="s">
        <v>172</v>
      </c>
      <c r="G27" s="11" t="s">
        <v>173</v>
      </c>
      <c r="H27" s="10" t="s">
        <v>21</v>
      </c>
      <c r="I27" s="10" t="s">
        <v>22</v>
      </c>
      <c r="J27" s="12" t="s">
        <v>174</v>
      </c>
      <c r="K27" s="13" t="s">
        <v>24</v>
      </c>
      <c r="L27" s="14" t="s">
        <v>25</v>
      </c>
      <c r="M27" s="13" t="s">
        <v>26</v>
      </c>
      <c r="N27" s="15">
        <v>46321</v>
      </c>
    </row>
    <row r="28" spans="1:14" ht="25.5" x14ac:dyDescent="0.25">
      <c r="A28" s="10" t="s">
        <v>175</v>
      </c>
      <c r="B28" s="11" t="s">
        <v>139</v>
      </c>
      <c r="C28" s="11" t="s">
        <v>176</v>
      </c>
      <c r="D28" s="10" t="s">
        <v>85</v>
      </c>
      <c r="E28" s="11" t="s">
        <v>29</v>
      </c>
      <c r="F28" s="11" t="s">
        <v>177</v>
      </c>
      <c r="G28" s="11" t="s">
        <v>178</v>
      </c>
      <c r="H28" s="10" t="s">
        <v>21</v>
      </c>
      <c r="I28" s="10" t="s">
        <v>22</v>
      </c>
      <c r="J28" s="12" t="s">
        <v>179</v>
      </c>
      <c r="K28" s="13" t="s">
        <v>24</v>
      </c>
      <c r="L28" s="14" t="s">
        <v>25</v>
      </c>
      <c r="M28" s="13" t="s">
        <v>26</v>
      </c>
      <c r="N28" s="15">
        <v>46321</v>
      </c>
    </row>
    <row r="29" spans="1:14" ht="38.25" x14ac:dyDescent="0.25">
      <c r="A29" s="10" t="s">
        <v>180</v>
      </c>
      <c r="B29" s="11" t="s">
        <v>139</v>
      </c>
      <c r="C29" s="11" t="s">
        <v>181</v>
      </c>
      <c r="D29" s="10" t="s">
        <v>85</v>
      </c>
      <c r="E29" s="11" t="s">
        <v>182</v>
      </c>
      <c r="F29" s="11" t="s">
        <v>183</v>
      </c>
      <c r="G29" s="11" t="s">
        <v>184</v>
      </c>
      <c r="H29" s="10" t="s">
        <v>21</v>
      </c>
      <c r="I29" s="10" t="s">
        <v>22</v>
      </c>
      <c r="J29" s="12" t="s">
        <v>185</v>
      </c>
      <c r="K29" s="13" t="s">
        <v>24</v>
      </c>
      <c r="L29" s="14" t="s">
        <v>186</v>
      </c>
      <c r="M29" s="13" t="s">
        <v>26</v>
      </c>
      <c r="N29" s="15">
        <v>46321</v>
      </c>
    </row>
    <row r="30" spans="1:14" ht="38.25" x14ac:dyDescent="0.25">
      <c r="A30" s="10" t="s">
        <v>187</v>
      </c>
      <c r="B30" s="11" t="s">
        <v>139</v>
      </c>
      <c r="C30" s="11" t="s">
        <v>188</v>
      </c>
      <c r="D30" s="10" t="s">
        <v>85</v>
      </c>
      <c r="E30" s="11" t="s">
        <v>182</v>
      </c>
      <c r="F30" s="11" t="s">
        <v>189</v>
      </c>
      <c r="G30" s="11" t="s">
        <v>190</v>
      </c>
      <c r="H30" s="10" t="s">
        <v>21</v>
      </c>
      <c r="I30" s="10" t="s">
        <v>22</v>
      </c>
      <c r="J30" s="12" t="s">
        <v>191</v>
      </c>
      <c r="K30" s="13" t="s">
        <v>24</v>
      </c>
      <c r="L30" s="14" t="s">
        <v>192</v>
      </c>
      <c r="M30" s="13" t="s">
        <v>26</v>
      </c>
      <c r="N30" s="15">
        <v>46321</v>
      </c>
    </row>
    <row r="31" spans="1:14" ht="25.5" x14ac:dyDescent="0.25">
      <c r="A31" s="10" t="s">
        <v>193</v>
      </c>
      <c r="B31" s="11" t="s">
        <v>194</v>
      </c>
      <c r="C31" s="11" t="s">
        <v>195</v>
      </c>
      <c r="D31" s="10" t="s">
        <v>196</v>
      </c>
      <c r="E31" s="11" t="s">
        <v>29</v>
      </c>
      <c r="F31" s="11" t="s">
        <v>197</v>
      </c>
      <c r="G31" s="11" t="s">
        <v>198</v>
      </c>
      <c r="H31" s="10" t="s">
        <v>38</v>
      </c>
      <c r="I31" s="10" t="s">
        <v>81</v>
      </c>
      <c r="J31" s="12" t="s">
        <v>29</v>
      </c>
      <c r="K31" s="13" t="s">
        <v>24</v>
      </c>
      <c r="L31" s="14" t="s">
        <v>199</v>
      </c>
      <c r="M31" s="13" t="s">
        <v>26</v>
      </c>
      <c r="N31" s="15">
        <v>46321</v>
      </c>
    </row>
    <row r="32" spans="1:14" ht="25.5" x14ac:dyDescent="0.25">
      <c r="A32" s="10" t="s">
        <v>200</v>
      </c>
      <c r="B32" s="11" t="s">
        <v>194</v>
      </c>
      <c r="C32" s="11" t="s">
        <v>201</v>
      </c>
      <c r="D32" s="10" t="s">
        <v>196</v>
      </c>
      <c r="E32" s="11" t="s">
        <v>202</v>
      </c>
      <c r="F32" s="11" t="s">
        <v>203</v>
      </c>
      <c r="G32" s="11" t="s">
        <v>204</v>
      </c>
      <c r="H32" s="10" t="s">
        <v>38</v>
      </c>
      <c r="I32" s="10" t="s">
        <v>81</v>
      </c>
      <c r="J32" s="12" t="s">
        <v>29</v>
      </c>
      <c r="K32" s="13" t="s">
        <v>24</v>
      </c>
      <c r="L32" s="14" t="s">
        <v>25</v>
      </c>
      <c r="M32" s="13" t="s">
        <v>26</v>
      </c>
      <c r="N32" s="15">
        <v>46321</v>
      </c>
    </row>
    <row r="33" spans="1:14" ht="25.5" x14ac:dyDescent="0.25">
      <c r="A33" s="10" t="s">
        <v>205</v>
      </c>
      <c r="B33" s="11" t="s">
        <v>194</v>
      </c>
      <c r="C33" s="11" t="s">
        <v>206</v>
      </c>
      <c r="D33" s="10" t="s">
        <v>196</v>
      </c>
      <c r="E33" s="11" t="s">
        <v>207</v>
      </c>
      <c r="F33" s="11" t="s">
        <v>208</v>
      </c>
      <c r="G33" s="11" t="s">
        <v>209</v>
      </c>
      <c r="H33" s="10" t="s">
        <v>38</v>
      </c>
      <c r="I33" s="10" t="s">
        <v>81</v>
      </c>
      <c r="J33" s="12" t="s">
        <v>29</v>
      </c>
      <c r="K33" s="13" t="s">
        <v>24</v>
      </c>
      <c r="L33" s="14" t="s">
        <v>25</v>
      </c>
      <c r="M33" s="13" t="s">
        <v>26</v>
      </c>
      <c r="N33" s="15">
        <v>46321</v>
      </c>
    </row>
    <row r="34" spans="1:14" ht="25.5" x14ac:dyDescent="0.25">
      <c r="A34" s="10" t="s">
        <v>210</v>
      </c>
      <c r="B34" s="11" t="s">
        <v>194</v>
      </c>
      <c r="C34" s="11" t="s">
        <v>211</v>
      </c>
      <c r="D34" s="10" t="s">
        <v>196</v>
      </c>
      <c r="E34" s="11" t="s">
        <v>212</v>
      </c>
      <c r="F34" s="11" t="s">
        <v>213</v>
      </c>
      <c r="G34" s="11" t="s">
        <v>214</v>
      </c>
      <c r="H34" s="10" t="s">
        <v>80</v>
      </c>
      <c r="I34" s="10" t="s">
        <v>81</v>
      </c>
      <c r="J34" s="12" t="s">
        <v>29</v>
      </c>
      <c r="K34" s="13" t="s">
        <v>24</v>
      </c>
      <c r="L34" s="14" t="s">
        <v>25</v>
      </c>
      <c r="M34" s="13" t="s">
        <v>26</v>
      </c>
      <c r="N34" s="15">
        <v>46321</v>
      </c>
    </row>
    <row r="35" spans="1:14" ht="38.25" x14ac:dyDescent="0.25">
      <c r="A35" s="10" t="s">
        <v>215</v>
      </c>
      <c r="B35" s="11" t="s">
        <v>216</v>
      </c>
      <c r="C35" s="11" t="s">
        <v>217</v>
      </c>
      <c r="D35" s="10" t="s">
        <v>196</v>
      </c>
      <c r="E35" s="11" t="s">
        <v>218</v>
      </c>
      <c r="F35" s="11" t="s">
        <v>219</v>
      </c>
      <c r="G35" s="11" t="s">
        <v>220</v>
      </c>
      <c r="H35" s="10" t="s">
        <v>21</v>
      </c>
      <c r="I35" s="10" t="s">
        <v>22</v>
      </c>
      <c r="J35" s="12" t="s">
        <v>221</v>
      </c>
      <c r="K35" s="13" t="s">
        <v>24</v>
      </c>
      <c r="L35" s="14" t="s">
        <v>222</v>
      </c>
      <c r="M35" s="13" t="s">
        <v>26</v>
      </c>
      <c r="N35" s="15">
        <v>46321</v>
      </c>
    </row>
    <row r="36" spans="1:14" ht="25.5" x14ac:dyDescent="0.25">
      <c r="A36" s="10" t="s">
        <v>223</v>
      </c>
      <c r="B36" s="11" t="s">
        <v>216</v>
      </c>
      <c r="C36" s="11" t="s">
        <v>224</v>
      </c>
      <c r="D36" s="10" t="s">
        <v>196</v>
      </c>
      <c r="E36" s="11" t="s">
        <v>29</v>
      </c>
      <c r="F36" s="11" t="s">
        <v>225</v>
      </c>
      <c r="G36" s="11" t="s">
        <v>226</v>
      </c>
      <c r="H36" s="10" t="s">
        <v>38</v>
      </c>
      <c r="I36" s="10" t="s">
        <v>81</v>
      </c>
      <c r="J36" s="12" t="s">
        <v>29</v>
      </c>
      <c r="K36" s="13" t="s">
        <v>24</v>
      </c>
      <c r="L36" s="14" t="s">
        <v>227</v>
      </c>
      <c r="M36" s="13" t="s">
        <v>26</v>
      </c>
      <c r="N36" s="15">
        <v>46321</v>
      </c>
    </row>
    <row r="37" spans="1:14" ht="25.5" x14ac:dyDescent="0.25">
      <c r="A37" s="10" t="s">
        <v>228</v>
      </c>
      <c r="B37" s="11" t="s">
        <v>216</v>
      </c>
      <c r="C37" s="11" t="s">
        <v>229</v>
      </c>
      <c r="D37" s="10" t="s">
        <v>196</v>
      </c>
      <c r="E37" s="11" t="s">
        <v>230</v>
      </c>
      <c r="F37" s="11" t="s">
        <v>231</v>
      </c>
      <c r="G37" s="11" t="s">
        <v>232</v>
      </c>
      <c r="H37" s="10" t="s">
        <v>38</v>
      </c>
      <c r="I37" s="10" t="s">
        <v>22</v>
      </c>
      <c r="J37" s="12" t="s">
        <v>233</v>
      </c>
      <c r="K37" s="13" t="s">
        <v>24</v>
      </c>
      <c r="L37" s="14" t="s">
        <v>234</v>
      </c>
      <c r="M37" s="13" t="s">
        <v>26</v>
      </c>
      <c r="N37" s="15">
        <v>46321</v>
      </c>
    </row>
    <row r="38" spans="1:14" ht="25.5" x14ac:dyDescent="0.25">
      <c r="A38" s="10" t="s">
        <v>235</v>
      </c>
      <c r="B38" s="11" t="s">
        <v>216</v>
      </c>
      <c r="C38" s="11" t="s">
        <v>236</v>
      </c>
      <c r="D38" s="10" t="s">
        <v>196</v>
      </c>
      <c r="E38" s="11" t="s">
        <v>237</v>
      </c>
      <c r="F38" s="11" t="s">
        <v>238</v>
      </c>
      <c r="G38" s="11" t="s">
        <v>239</v>
      </c>
      <c r="H38" s="10" t="s">
        <v>21</v>
      </c>
      <c r="I38" s="10" t="s">
        <v>22</v>
      </c>
      <c r="J38" s="12" t="s">
        <v>240</v>
      </c>
      <c r="K38" s="13" t="s">
        <v>24</v>
      </c>
      <c r="L38" s="14" t="s">
        <v>241</v>
      </c>
      <c r="M38" s="13" t="s">
        <v>26</v>
      </c>
      <c r="N38" s="15">
        <v>46321</v>
      </c>
    </row>
    <row r="39" spans="1:14" ht="38.25" x14ac:dyDescent="0.25">
      <c r="A39" s="10" t="s">
        <v>242</v>
      </c>
      <c r="B39" s="11" t="s">
        <v>216</v>
      </c>
      <c r="C39" s="11" t="s">
        <v>243</v>
      </c>
      <c r="D39" s="10" t="s">
        <v>196</v>
      </c>
      <c r="E39" s="11" t="s">
        <v>244</v>
      </c>
      <c r="F39" s="11" t="s">
        <v>245</v>
      </c>
      <c r="G39" s="11" t="s">
        <v>246</v>
      </c>
      <c r="H39" s="10" t="s">
        <v>38</v>
      </c>
      <c r="I39" s="10" t="s">
        <v>81</v>
      </c>
      <c r="J39" s="12" t="s">
        <v>29</v>
      </c>
      <c r="K39" s="13" t="s">
        <v>247</v>
      </c>
      <c r="L39" s="14" t="s">
        <v>248</v>
      </c>
      <c r="M39" s="13" t="s">
        <v>26</v>
      </c>
      <c r="N39" s="15">
        <v>46321</v>
      </c>
    </row>
    <row r="40" spans="1:14" ht="25.5" x14ac:dyDescent="0.25">
      <c r="A40" s="10" t="s">
        <v>249</v>
      </c>
      <c r="B40" s="11" t="s">
        <v>216</v>
      </c>
      <c r="C40" s="11" t="s">
        <v>250</v>
      </c>
      <c r="D40" s="10" t="s">
        <v>196</v>
      </c>
      <c r="E40" s="11" t="s">
        <v>251</v>
      </c>
      <c r="F40" s="11" t="s">
        <v>252</v>
      </c>
      <c r="G40" s="11" t="s">
        <v>253</v>
      </c>
      <c r="H40" s="10" t="s">
        <v>38</v>
      </c>
      <c r="I40" s="10" t="s">
        <v>22</v>
      </c>
      <c r="J40" s="12" t="s">
        <v>254</v>
      </c>
      <c r="K40" s="13" t="s">
        <v>24</v>
      </c>
      <c r="L40" s="14" t="s">
        <v>255</v>
      </c>
      <c r="M40" s="13" t="s">
        <v>26</v>
      </c>
      <c r="N40" s="15">
        <v>46321</v>
      </c>
    </row>
    <row r="41" spans="1:14" ht="25.5" x14ac:dyDescent="0.25">
      <c r="A41" s="10" t="s">
        <v>256</v>
      </c>
      <c r="B41" s="11" t="s">
        <v>216</v>
      </c>
      <c r="C41" s="11" t="s">
        <v>257</v>
      </c>
      <c r="D41" s="10" t="s">
        <v>196</v>
      </c>
      <c r="E41" s="11" t="s">
        <v>258</v>
      </c>
      <c r="F41" s="11" t="s">
        <v>259</v>
      </c>
      <c r="G41" s="11" t="s">
        <v>260</v>
      </c>
      <c r="H41" s="10" t="s">
        <v>38</v>
      </c>
      <c r="I41" s="10" t="s">
        <v>22</v>
      </c>
      <c r="J41" s="12" t="s">
        <v>261</v>
      </c>
      <c r="K41" s="13" t="s">
        <v>24</v>
      </c>
      <c r="L41" s="14" t="s">
        <v>25</v>
      </c>
      <c r="M41" s="13" t="s">
        <v>26</v>
      </c>
      <c r="N41" s="15">
        <v>46321</v>
      </c>
    </row>
    <row r="42" spans="1:14" ht="38.25" x14ac:dyDescent="0.25">
      <c r="A42" s="10" t="s">
        <v>262</v>
      </c>
      <c r="B42" s="11" t="s">
        <v>216</v>
      </c>
      <c r="C42" s="11" t="s">
        <v>263</v>
      </c>
      <c r="D42" s="10" t="s">
        <v>196</v>
      </c>
      <c r="E42" s="11" t="s">
        <v>264</v>
      </c>
      <c r="F42" s="11" t="s">
        <v>265</v>
      </c>
      <c r="G42" s="11" t="s">
        <v>266</v>
      </c>
      <c r="H42" s="10" t="s">
        <v>21</v>
      </c>
      <c r="I42" s="10" t="s">
        <v>22</v>
      </c>
      <c r="J42" s="12" t="s">
        <v>267</v>
      </c>
      <c r="K42" s="13" t="s">
        <v>24</v>
      </c>
      <c r="L42" s="14" t="s">
        <v>268</v>
      </c>
      <c r="M42" s="13" t="s">
        <v>26</v>
      </c>
      <c r="N42" s="15">
        <v>46321</v>
      </c>
    </row>
    <row r="43" spans="1:14" ht="38.25" x14ac:dyDescent="0.25">
      <c r="A43" s="10" t="s">
        <v>269</v>
      </c>
      <c r="B43" s="11" t="s">
        <v>216</v>
      </c>
      <c r="C43" s="11" t="s">
        <v>270</v>
      </c>
      <c r="D43" s="10" t="s">
        <v>196</v>
      </c>
      <c r="E43" s="11" t="s">
        <v>271</v>
      </c>
      <c r="F43" s="11" t="s">
        <v>272</v>
      </c>
      <c r="G43" s="11" t="s">
        <v>273</v>
      </c>
      <c r="H43" s="10" t="s">
        <v>21</v>
      </c>
      <c r="I43" s="10" t="s">
        <v>22</v>
      </c>
      <c r="J43" s="12" t="s">
        <v>274</v>
      </c>
      <c r="K43" s="13" t="s">
        <v>24</v>
      </c>
      <c r="L43" s="14" t="s">
        <v>275</v>
      </c>
      <c r="M43" s="13" t="s">
        <v>26</v>
      </c>
      <c r="N43" s="15">
        <v>46321</v>
      </c>
    </row>
    <row r="44" spans="1:14" ht="25.5" x14ac:dyDescent="0.25">
      <c r="A44" s="10" t="s">
        <v>276</v>
      </c>
      <c r="B44" s="11" t="s">
        <v>216</v>
      </c>
      <c r="C44" s="11" t="s">
        <v>277</v>
      </c>
      <c r="D44" s="10" t="s">
        <v>196</v>
      </c>
      <c r="E44" s="11" t="s">
        <v>278</v>
      </c>
      <c r="F44" s="11" t="s">
        <v>279</v>
      </c>
      <c r="G44" s="11" t="s">
        <v>280</v>
      </c>
      <c r="H44" s="10" t="s">
        <v>80</v>
      </c>
      <c r="I44" s="10" t="s">
        <v>81</v>
      </c>
      <c r="J44" s="12" t="s">
        <v>29</v>
      </c>
      <c r="K44" s="13" t="s">
        <v>24</v>
      </c>
      <c r="L44" s="14" t="s">
        <v>281</v>
      </c>
      <c r="M44" s="13" t="s">
        <v>26</v>
      </c>
      <c r="N44" s="15">
        <v>46321</v>
      </c>
    </row>
    <row r="45" spans="1:14" ht="25.5" x14ac:dyDescent="0.25">
      <c r="A45" s="10" t="s">
        <v>282</v>
      </c>
      <c r="B45" s="11" t="s">
        <v>216</v>
      </c>
      <c r="C45" s="11" t="s">
        <v>283</v>
      </c>
      <c r="D45" s="10" t="s">
        <v>171</v>
      </c>
      <c r="E45" s="11" t="s">
        <v>29</v>
      </c>
      <c r="F45" s="11" t="s">
        <v>284</v>
      </c>
      <c r="G45" s="11" t="s">
        <v>285</v>
      </c>
      <c r="H45" s="10" t="s">
        <v>21</v>
      </c>
      <c r="I45" s="10" t="s">
        <v>22</v>
      </c>
      <c r="J45" s="12" t="s">
        <v>168</v>
      </c>
      <c r="K45" s="13" t="s">
        <v>24</v>
      </c>
      <c r="L45" s="14" t="s">
        <v>25</v>
      </c>
      <c r="M45" s="13" t="s">
        <v>26</v>
      </c>
      <c r="N45" s="15">
        <v>46321</v>
      </c>
    </row>
    <row r="46" spans="1:14" ht="25.5" x14ac:dyDescent="0.25">
      <c r="A46" s="10" t="s">
        <v>286</v>
      </c>
      <c r="B46" s="11" t="s">
        <v>216</v>
      </c>
      <c r="C46" s="11" t="s">
        <v>287</v>
      </c>
      <c r="D46" s="10" t="s">
        <v>196</v>
      </c>
      <c r="E46" s="11" t="s">
        <v>288</v>
      </c>
      <c r="F46" s="11" t="s">
        <v>289</v>
      </c>
      <c r="G46" s="11" t="s">
        <v>290</v>
      </c>
      <c r="H46" s="10" t="s">
        <v>38</v>
      </c>
      <c r="I46" s="10" t="s">
        <v>81</v>
      </c>
      <c r="J46" s="12" t="s">
        <v>29</v>
      </c>
      <c r="K46" s="13" t="s">
        <v>24</v>
      </c>
      <c r="L46" s="14" t="s">
        <v>291</v>
      </c>
      <c r="M46" s="13" t="s">
        <v>26</v>
      </c>
      <c r="N46" s="15">
        <v>46321</v>
      </c>
    </row>
    <row r="47" spans="1:14" ht="25.5" x14ac:dyDescent="0.25">
      <c r="A47" s="10" t="s">
        <v>292</v>
      </c>
      <c r="B47" s="11" t="s">
        <v>216</v>
      </c>
      <c r="C47" s="11" t="s">
        <v>293</v>
      </c>
      <c r="D47" s="10" t="s">
        <v>17</v>
      </c>
      <c r="E47" s="11" t="s">
        <v>294</v>
      </c>
      <c r="F47" s="11" t="s">
        <v>295</v>
      </c>
      <c r="G47" s="11" t="s">
        <v>296</v>
      </c>
      <c r="H47" s="10" t="s">
        <v>80</v>
      </c>
      <c r="I47" s="10" t="s">
        <v>22</v>
      </c>
      <c r="J47" s="12" t="s">
        <v>297</v>
      </c>
      <c r="K47" s="13" t="s">
        <v>24</v>
      </c>
      <c r="L47" s="14" t="s">
        <v>298</v>
      </c>
      <c r="M47" s="13" t="s">
        <v>26</v>
      </c>
      <c r="N47" s="15">
        <v>46321</v>
      </c>
    </row>
    <row r="48" spans="1:14" ht="25.5" x14ac:dyDescent="0.25">
      <c r="A48" s="10" t="s">
        <v>299</v>
      </c>
      <c r="B48" s="11" t="s">
        <v>216</v>
      </c>
      <c r="C48" s="11" t="s">
        <v>300</v>
      </c>
      <c r="D48" s="10" t="s">
        <v>17</v>
      </c>
      <c r="E48" s="11" t="s">
        <v>301</v>
      </c>
      <c r="F48" s="11" t="s">
        <v>302</v>
      </c>
      <c r="G48" s="11" t="s">
        <v>303</v>
      </c>
      <c r="H48" s="10" t="s">
        <v>38</v>
      </c>
      <c r="I48" s="10" t="s">
        <v>22</v>
      </c>
      <c r="J48" s="12" t="s">
        <v>304</v>
      </c>
      <c r="K48" s="13" t="s">
        <v>24</v>
      </c>
      <c r="L48" s="14" t="s">
        <v>25</v>
      </c>
      <c r="M48" s="13" t="s">
        <v>26</v>
      </c>
      <c r="N48" s="15">
        <v>46321</v>
      </c>
    </row>
    <row r="49" spans="1:14" ht="25.5" x14ac:dyDescent="0.25">
      <c r="A49" s="10" t="s">
        <v>305</v>
      </c>
      <c r="B49" s="11" t="s">
        <v>306</v>
      </c>
      <c r="C49" s="11" t="s">
        <v>307</v>
      </c>
      <c r="D49" s="10" t="s">
        <v>196</v>
      </c>
      <c r="E49" s="11" t="s">
        <v>308</v>
      </c>
      <c r="F49" s="11" t="s">
        <v>309</v>
      </c>
      <c r="G49" s="11" t="s">
        <v>310</v>
      </c>
      <c r="H49" s="10" t="s">
        <v>38</v>
      </c>
      <c r="I49" s="10" t="s">
        <v>81</v>
      </c>
      <c r="J49" s="12" t="s">
        <v>29</v>
      </c>
      <c r="K49" s="13" t="s">
        <v>24</v>
      </c>
      <c r="L49" s="14" t="s">
        <v>25</v>
      </c>
      <c r="M49" s="13" t="s">
        <v>26</v>
      </c>
      <c r="N49" s="15">
        <v>46321</v>
      </c>
    </row>
    <row r="50" spans="1:14" ht="38.25" x14ac:dyDescent="0.25">
      <c r="A50" s="10" t="s">
        <v>311</v>
      </c>
      <c r="B50" s="11" t="s">
        <v>306</v>
      </c>
      <c r="C50" s="11" t="s">
        <v>312</v>
      </c>
      <c r="D50" s="10" t="s">
        <v>196</v>
      </c>
      <c r="E50" s="11" t="s">
        <v>313</v>
      </c>
      <c r="F50" s="11" t="s">
        <v>314</v>
      </c>
      <c r="G50" s="11" t="s">
        <v>315</v>
      </c>
      <c r="H50" s="10" t="s">
        <v>21</v>
      </c>
      <c r="I50" s="10" t="s">
        <v>22</v>
      </c>
      <c r="J50" s="12" t="s">
        <v>316</v>
      </c>
      <c r="K50" s="13" t="s">
        <v>24</v>
      </c>
      <c r="L50" s="14" t="s">
        <v>317</v>
      </c>
      <c r="M50" s="13" t="s">
        <v>26</v>
      </c>
      <c r="N50" s="15">
        <v>46321</v>
      </c>
    </row>
    <row r="51" spans="1:14" ht="38.25" x14ac:dyDescent="0.25">
      <c r="A51" s="10" t="s">
        <v>318</v>
      </c>
      <c r="B51" s="11" t="s">
        <v>306</v>
      </c>
      <c r="C51" s="11" t="s">
        <v>319</v>
      </c>
      <c r="D51" s="10" t="s">
        <v>196</v>
      </c>
      <c r="E51" s="11" t="s">
        <v>320</v>
      </c>
      <c r="F51" s="11" t="s">
        <v>321</v>
      </c>
      <c r="G51" s="11" t="s">
        <v>322</v>
      </c>
      <c r="H51" s="10" t="s">
        <v>21</v>
      </c>
      <c r="I51" s="10" t="s">
        <v>22</v>
      </c>
      <c r="J51" s="12" t="s">
        <v>323</v>
      </c>
      <c r="K51" s="13" t="s">
        <v>24</v>
      </c>
      <c r="L51" s="14" t="s">
        <v>324</v>
      </c>
      <c r="M51" s="13" t="s">
        <v>26</v>
      </c>
      <c r="N51" s="15">
        <v>46321</v>
      </c>
    </row>
    <row r="52" spans="1:14" ht="51" x14ac:dyDescent="0.25">
      <c r="A52" s="10" t="s">
        <v>325</v>
      </c>
      <c r="B52" s="11" t="s">
        <v>306</v>
      </c>
      <c r="C52" s="11" t="s">
        <v>326</v>
      </c>
      <c r="D52" s="10" t="s">
        <v>196</v>
      </c>
      <c r="E52" s="11" t="s">
        <v>327</v>
      </c>
      <c r="F52" s="11" t="s">
        <v>328</v>
      </c>
      <c r="G52" s="11" t="s">
        <v>329</v>
      </c>
      <c r="H52" s="10" t="s">
        <v>21</v>
      </c>
      <c r="I52" s="10" t="s">
        <v>22</v>
      </c>
      <c r="J52" s="12" t="s">
        <v>330</v>
      </c>
      <c r="K52" s="13" t="s">
        <v>24</v>
      </c>
      <c r="L52" s="14" t="s">
        <v>331</v>
      </c>
      <c r="M52" s="13" t="s">
        <v>26</v>
      </c>
      <c r="N52" s="15">
        <v>46321</v>
      </c>
    </row>
    <row r="53" spans="1:14" ht="25.5" x14ac:dyDescent="0.25">
      <c r="A53" s="10" t="s">
        <v>332</v>
      </c>
      <c r="B53" s="11" t="s">
        <v>306</v>
      </c>
      <c r="C53" s="11" t="s">
        <v>333</v>
      </c>
      <c r="D53" s="10" t="s">
        <v>196</v>
      </c>
      <c r="E53" s="11" t="s">
        <v>334</v>
      </c>
      <c r="F53" s="11" t="s">
        <v>335</v>
      </c>
      <c r="G53" s="11" t="s">
        <v>336</v>
      </c>
      <c r="H53" s="10" t="s">
        <v>38</v>
      </c>
      <c r="I53" s="10" t="s">
        <v>81</v>
      </c>
      <c r="J53" s="12" t="s">
        <v>29</v>
      </c>
      <c r="K53" s="13" t="s">
        <v>24</v>
      </c>
      <c r="L53" s="14" t="s">
        <v>25</v>
      </c>
      <c r="M53" s="13" t="s">
        <v>26</v>
      </c>
      <c r="N53" s="15">
        <v>46321</v>
      </c>
    </row>
    <row r="54" spans="1:14" ht="38.25" x14ac:dyDescent="0.25">
      <c r="A54" s="10" t="s">
        <v>337</v>
      </c>
      <c r="B54" s="11" t="s">
        <v>306</v>
      </c>
      <c r="C54" s="11" t="s">
        <v>338</v>
      </c>
      <c r="D54" s="10" t="s">
        <v>196</v>
      </c>
      <c r="E54" s="11" t="s">
        <v>339</v>
      </c>
      <c r="F54" s="11" t="s">
        <v>340</v>
      </c>
      <c r="G54" s="11" t="s">
        <v>341</v>
      </c>
      <c r="H54" s="10" t="s">
        <v>21</v>
      </c>
      <c r="I54" s="10" t="s">
        <v>22</v>
      </c>
      <c r="J54" s="12" t="s">
        <v>342</v>
      </c>
      <c r="K54" s="13" t="s">
        <v>24</v>
      </c>
      <c r="L54" s="14" t="s">
        <v>341</v>
      </c>
      <c r="M54" s="13" t="s">
        <v>26</v>
      </c>
      <c r="N54" s="15">
        <v>46321</v>
      </c>
    </row>
    <row r="55" spans="1:14" ht="25.5" x14ac:dyDescent="0.25">
      <c r="A55" s="10" t="s">
        <v>343</v>
      </c>
      <c r="B55" s="11" t="s">
        <v>344</v>
      </c>
      <c r="C55" s="11" t="s">
        <v>345</v>
      </c>
      <c r="D55" s="10" t="s">
        <v>196</v>
      </c>
      <c r="E55" s="11" t="s">
        <v>29</v>
      </c>
      <c r="F55" s="11" t="s">
        <v>346</v>
      </c>
      <c r="G55" s="11" t="s">
        <v>347</v>
      </c>
      <c r="H55" s="10" t="s">
        <v>38</v>
      </c>
      <c r="I55" s="10" t="s">
        <v>81</v>
      </c>
      <c r="J55" s="12" t="s">
        <v>29</v>
      </c>
      <c r="K55" s="13" t="s">
        <v>24</v>
      </c>
      <c r="L55" s="14" t="s">
        <v>25</v>
      </c>
      <c r="M55" s="13" t="s">
        <v>26</v>
      </c>
      <c r="N55" s="15">
        <v>46321</v>
      </c>
    </row>
    <row r="56" spans="1:14" ht="25.5" x14ac:dyDescent="0.25">
      <c r="A56" s="10" t="s">
        <v>348</v>
      </c>
      <c r="B56" s="11" t="s">
        <v>344</v>
      </c>
      <c r="C56" s="11" t="s">
        <v>349</v>
      </c>
      <c r="D56" s="10" t="s">
        <v>196</v>
      </c>
      <c r="E56" s="11" t="s">
        <v>350</v>
      </c>
      <c r="F56" s="11" t="s">
        <v>351</v>
      </c>
      <c r="G56" s="11" t="s">
        <v>352</v>
      </c>
      <c r="H56" s="10" t="s">
        <v>21</v>
      </c>
      <c r="I56" s="10" t="s">
        <v>22</v>
      </c>
      <c r="J56" s="12" t="s">
        <v>353</v>
      </c>
      <c r="K56" s="13" t="s">
        <v>24</v>
      </c>
      <c r="L56" s="14" t="s">
        <v>354</v>
      </c>
      <c r="M56" s="13" t="s">
        <v>26</v>
      </c>
      <c r="N56" s="15">
        <v>46321</v>
      </c>
    </row>
    <row r="57" spans="1:14" ht="38.25" x14ac:dyDescent="0.25">
      <c r="A57" s="10" t="s">
        <v>355</v>
      </c>
      <c r="B57" s="11" t="s">
        <v>344</v>
      </c>
      <c r="C57" s="11" t="s">
        <v>356</v>
      </c>
      <c r="D57" s="10" t="s">
        <v>196</v>
      </c>
      <c r="E57" s="11" t="s">
        <v>357</v>
      </c>
      <c r="F57" s="11" t="s">
        <v>358</v>
      </c>
      <c r="G57" s="11" t="s">
        <v>359</v>
      </c>
      <c r="H57" s="10" t="s">
        <v>21</v>
      </c>
      <c r="I57" s="10" t="s">
        <v>22</v>
      </c>
      <c r="J57" s="12" t="s">
        <v>360</v>
      </c>
      <c r="K57" s="13" t="s">
        <v>24</v>
      </c>
      <c r="L57" s="14" t="s">
        <v>361</v>
      </c>
      <c r="M57" s="13" t="s">
        <v>26</v>
      </c>
      <c r="N57" s="15">
        <v>46321</v>
      </c>
    </row>
    <row r="58" spans="1:14" ht="25.5" x14ac:dyDescent="0.25">
      <c r="A58" s="10" t="s">
        <v>362</v>
      </c>
      <c r="B58" s="11" t="s">
        <v>344</v>
      </c>
      <c r="C58" s="11" t="s">
        <v>363</v>
      </c>
      <c r="D58" s="10" t="s">
        <v>196</v>
      </c>
      <c r="E58" s="11" t="s">
        <v>364</v>
      </c>
      <c r="F58" s="11" t="s">
        <v>365</v>
      </c>
      <c r="G58" s="11" t="s">
        <v>366</v>
      </c>
      <c r="H58" s="10" t="s">
        <v>21</v>
      </c>
      <c r="I58" s="10" t="s">
        <v>22</v>
      </c>
      <c r="J58" s="12" t="s">
        <v>367</v>
      </c>
      <c r="K58" s="13" t="s">
        <v>24</v>
      </c>
      <c r="L58" s="14" t="s">
        <v>25</v>
      </c>
      <c r="M58" s="13" t="s">
        <v>26</v>
      </c>
      <c r="N58" s="15">
        <v>46321</v>
      </c>
    </row>
    <row r="59" spans="1:14" ht="38.25" x14ac:dyDescent="0.25">
      <c r="A59" s="10" t="s">
        <v>368</v>
      </c>
      <c r="B59" s="11" t="s">
        <v>344</v>
      </c>
      <c r="C59" s="11" t="s">
        <v>369</v>
      </c>
      <c r="D59" s="10" t="s">
        <v>171</v>
      </c>
      <c r="E59" s="11" t="s">
        <v>370</v>
      </c>
      <c r="F59" s="11" t="s">
        <v>371</v>
      </c>
      <c r="G59" s="11" t="s">
        <v>372</v>
      </c>
      <c r="H59" s="10" t="s">
        <v>21</v>
      </c>
      <c r="I59" s="10" t="s">
        <v>22</v>
      </c>
      <c r="J59" s="12" t="s">
        <v>373</v>
      </c>
      <c r="K59" s="13" t="s">
        <v>24</v>
      </c>
      <c r="L59" s="14" t="s">
        <v>374</v>
      </c>
      <c r="M59" s="13" t="s">
        <v>26</v>
      </c>
      <c r="N59" s="15">
        <v>46321</v>
      </c>
    </row>
    <row r="60" spans="1:14" ht="38.25" x14ac:dyDescent="0.25">
      <c r="A60" s="10" t="s">
        <v>375</v>
      </c>
      <c r="B60" s="11" t="s">
        <v>344</v>
      </c>
      <c r="C60" s="11" t="s">
        <v>376</v>
      </c>
      <c r="D60" s="10" t="s">
        <v>171</v>
      </c>
      <c r="E60" s="11" t="s">
        <v>377</v>
      </c>
      <c r="F60" s="11" t="s">
        <v>378</v>
      </c>
      <c r="G60" s="11" t="s">
        <v>260</v>
      </c>
      <c r="H60" s="10" t="s">
        <v>21</v>
      </c>
      <c r="I60" s="10" t="s">
        <v>22</v>
      </c>
      <c r="J60" s="12" t="s">
        <v>379</v>
      </c>
      <c r="K60" s="13" t="s">
        <v>24</v>
      </c>
      <c r="L60" s="14" t="s">
        <v>380</v>
      </c>
      <c r="M60" s="13" t="s">
        <v>26</v>
      </c>
      <c r="N60" s="15">
        <v>46321</v>
      </c>
    </row>
    <row r="61" spans="1:14" ht="25.5" x14ac:dyDescent="0.25">
      <c r="A61" s="10" t="s">
        <v>381</v>
      </c>
      <c r="B61" s="11" t="s">
        <v>344</v>
      </c>
      <c r="C61" s="11" t="s">
        <v>382</v>
      </c>
      <c r="D61" s="10" t="s">
        <v>383</v>
      </c>
      <c r="E61" s="11" t="s">
        <v>384</v>
      </c>
      <c r="F61" s="11" t="s">
        <v>385</v>
      </c>
      <c r="G61" s="11" t="s">
        <v>386</v>
      </c>
      <c r="H61" s="10" t="s">
        <v>38</v>
      </c>
      <c r="I61" s="10" t="s">
        <v>22</v>
      </c>
      <c r="J61" s="12" t="s">
        <v>387</v>
      </c>
      <c r="K61" s="13" t="s">
        <v>24</v>
      </c>
      <c r="L61" s="14" t="s">
        <v>388</v>
      </c>
      <c r="M61" s="13" t="s">
        <v>26</v>
      </c>
      <c r="N61" s="15">
        <v>46321</v>
      </c>
    </row>
    <row r="62" spans="1:14" ht="38.25" x14ac:dyDescent="0.25">
      <c r="A62" s="10" t="s">
        <v>389</v>
      </c>
      <c r="B62" s="11" t="s">
        <v>390</v>
      </c>
      <c r="C62" s="11" t="s">
        <v>391</v>
      </c>
      <c r="D62" s="10" t="s">
        <v>119</v>
      </c>
      <c r="E62" s="11" t="s">
        <v>392</v>
      </c>
      <c r="F62" s="11" t="s">
        <v>393</v>
      </c>
      <c r="G62" s="11" t="s">
        <v>394</v>
      </c>
      <c r="H62" s="10" t="s">
        <v>21</v>
      </c>
      <c r="I62" s="10" t="s">
        <v>22</v>
      </c>
      <c r="J62" s="12" t="s">
        <v>395</v>
      </c>
      <c r="K62" s="13" t="s">
        <v>24</v>
      </c>
      <c r="L62" s="14" t="s">
        <v>25</v>
      </c>
      <c r="M62" s="13" t="s">
        <v>26</v>
      </c>
      <c r="N62" s="15">
        <v>46321</v>
      </c>
    </row>
    <row r="63" spans="1:14" ht="25.5" x14ac:dyDescent="0.25">
      <c r="A63" s="10" t="s">
        <v>396</v>
      </c>
      <c r="B63" s="11" t="s">
        <v>390</v>
      </c>
      <c r="C63" s="11" t="s">
        <v>397</v>
      </c>
      <c r="D63" s="10" t="s">
        <v>119</v>
      </c>
      <c r="E63" s="11" t="s">
        <v>398</v>
      </c>
      <c r="F63" s="11" t="s">
        <v>399</v>
      </c>
      <c r="G63" s="11" t="s">
        <v>400</v>
      </c>
      <c r="H63" s="10" t="s">
        <v>21</v>
      </c>
      <c r="I63" s="10" t="s">
        <v>81</v>
      </c>
      <c r="J63" s="12" t="s">
        <v>29</v>
      </c>
      <c r="K63" s="13" t="s">
        <v>24</v>
      </c>
      <c r="L63" s="14" t="s">
        <v>401</v>
      </c>
      <c r="M63" s="13" t="s">
        <v>26</v>
      </c>
      <c r="N63" s="15">
        <v>46321</v>
      </c>
    </row>
    <row r="64" spans="1:14" ht="25.5" x14ac:dyDescent="0.25">
      <c r="A64" s="10" t="s">
        <v>402</v>
      </c>
      <c r="B64" s="11" t="s">
        <v>390</v>
      </c>
      <c r="C64" s="11" t="s">
        <v>403</v>
      </c>
      <c r="D64" s="10" t="s">
        <v>119</v>
      </c>
      <c r="E64" s="11" t="s">
        <v>29</v>
      </c>
      <c r="F64" s="11" t="s">
        <v>404</v>
      </c>
      <c r="G64" s="11" t="s">
        <v>405</v>
      </c>
      <c r="H64" s="10" t="s">
        <v>21</v>
      </c>
      <c r="I64" s="10" t="s">
        <v>81</v>
      </c>
      <c r="J64" s="12" t="s">
        <v>29</v>
      </c>
      <c r="K64" s="13" t="s">
        <v>24</v>
      </c>
      <c r="L64" s="14" t="s">
        <v>25</v>
      </c>
      <c r="M64" s="13" t="s">
        <v>26</v>
      </c>
      <c r="N64" s="15">
        <v>46321</v>
      </c>
    </row>
    <row r="65" spans="1:14" ht="25.5" x14ac:dyDescent="0.25">
      <c r="A65" s="10" t="s">
        <v>406</v>
      </c>
      <c r="B65" s="11" t="s">
        <v>390</v>
      </c>
      <c r="C65" s="11" t="s">
        <v>407</v>
      </c>
      <c r="D65" s="10" t="s">
        <v>119</v>
      </c>
      <c r="E65" s="11" t="s">
        <v>408</v>
      </c>
      <c r="F65" s="11" t="s">
        <v>409</v>
      </c>
      <c r="G65" s="11" t="s">
        <v>410</v>
      </c>
      <c r="H65" s="10" t="s">
        <v>38</v>
      </c>
      <c r="I65" s="10" t="s">
        <v>81</v>
      </c>
      <c r="J65" s="12" t="s">
        <v>29</v>
      </c>
      <c r="K65" s="13" t="s">
        <v>24</v>
      </c>
      <c r="L65" s="14" t="s">
        <v>411</v>
      </c>
      <c r="M65" s="13" t="s">
        <v>26</v>
      </c>
      <c r="N65" s="15">
        <v>46321</v>
      </c>
    </row>
    <row r="66" spans="1:14" ht="38.25" x14ac:dyDescent="0.25">
      <c r="A66" s="10" t="s">
        <v>412</v>
      </c>
      <c r="B66" s="11" t="s">
        <v>390</v>
      </c>
      <c r="C66" s="11" t="s">
        <v>413</v>
      </c>
      <c r="D66" s="10" t="s">
        <v>119</v>
      </c>
      <c r="E66" s="11" t="s">
        <v>414</v>
      </c>
      <c r="F66" s="11" t="s">
        <v>415</v>
      </c>
      <c r="G66" s="11" t="s">
        <v>416</v>
      </c>
      <c r="H66" s="10" t="s">
        <v>21</v>
      </c>
      <c r="I66" s="10" t="s">
        <v>22</v>
      </c>
      <c r="J66" s="12" t="s">
        <v>149</v>
      </c>
      <c r="K66" s="13" t="s">
        <v>24</v>
      </c>
      <c r="L66" s="14" t="s">
        <v>417</v>
      </c>
      <c r="M66" s="13" t="s">
        <v>26</v>
      </c>
      <c r="N66" s="15">
        <v>46321</v>
      </c>
    </row>
    <row r="67" spans="1:14" ht="25.5" x14ac:dyDescent="0.25">
      <c r="A67" s="10" t="s">
        <v>418</v>
      </c>
      <c r="B67" s="11" t="s">
        <v>390</v>
      </c>
      <c r="C67" s="11" t="s">
        <v>419</v>
      </c>
      <c r="D67" s="10" t="s">
        <v>119</v>
      </c>
      <c r="E67" s="11" t="s">
        <v>29</v>
      </c>
      <c r="F67" s="11" t="s">
        <v>420</v>
      </c>
      <c r="G67" s="11" t="s">
        <v>421</v>
      </c>
      <c r="H67" s="10" t="s">
        <v>38</v>
      </c>
      <c r="I67" s="10" t="s">
        <v>22</v>
      </c>
      <c r="J67" s="12" t="s">
        <v>422</v>
      </c>
      <c r="K67" s="13" t="s">
        <v>24</v>
      </c>
      <c r="L67" s="14" t="s">
        <v>423</v>
      </c>
      <c r="M67" s="13" t="s">
        <v>26</v>
      </c>
      <c r="N67" s="15">
        <v>46321</v>
      </c>
    </row>
    <row r="68" spans="1:14" ht="38.25" x14ac:dyDescent="0.25">
      <c r="A68" s="10" t="s">
        <v>424</v>
      </c>
      <c r="B68" s="11" t="s">
        <v>390</v>
      </c>
      <c r="C68" s="11" t="s">
        <v>425</v>
      </c>
      <c r="D68" s="10" t="s">
        <v>119</v>
      </c>
      <c r="E68" s="11" t="s">
        <v>29</v>
      </c>
      <c r="F68" s="11" t="s">
        <v>426</v>
      </c>
      <c r="G68" s="11" t="s">
        <v>427</v>
      </c>
      <c r="H68" s="10" t="s">
        <v>21</v>
      </c>
      <c r="I68" s="10" t="s">
        <v>22</v>
      </c>
      <c r="J68" s="12" t="s">
        <v>428</v>
      </c>
      <c r="K68" s="13" t="s">
        <v>24</v>
      </c>
      <c r="L68" s="14" t="s">
        <v>429</v>
      </c>
      <c r="M68" s="13" t="s">
        <v>26</v>
      </c>
      <c r="N68" s="15">
        <v>46321</v>
      </c>
    </row>
    <row r="69" spans="1:14" ht="38.25" x14ac:dyDescent="0.25">
      <c r="A69" s="10" t="s">
        <v>430</v>
      </c>
      <c r="B69" s="11" t="s">
        <v>390</v>
      </c>
      <c r="C69" s="11" t="s">
        <v>431</v>
      </c>
      <c r="D69" s="10" t="s">
        <v>119</v>
      </c>
      <c r="E69" s="11" t="s">
        <v>29</v>
      </c>
      <c r="F69" s="11" t="s">
        <v>432</v>
      </c>
      <c r="G69" s="11" t="s">
        <v>433</v>
      </c>
      <c r="H69" s="10" t="s">
        <v>21</v>
      </c>
      <c r="I69" s="10" t="s">
        <v>22</v>
      </c>
      <c r="J69" s="12" t="s">
        <v>428</v>
      </c>
      <c r="K69" s="13" t="s">
        <v>24</v>
      </c>
      <c r="L69" s="14" t="s">
        <v>434</v>
      </c>
      <c r="M69" s="13" t="s">
        <v>26</v>
      </c>
      <c r="N69" s="15">
        <v>46321</v>
      </c>
    </row>
    <row r="70" spans="1:14" ht="38.25" x14ac:dyDescent="0.25">
      <c r="A70" s="10" t="s">
        <v>435</v>
      </c>
      <c r="B70" s="11" t="s">
        <v>390</v>
      </c>
      <c r="C70" s="11" t="s">
        <v>436</v>
      </c>
      <c r="D70" s="10" t="s">
        <v>119</v>
      </c>
      <c r="E70" s="11" t="s">
        <v>437</v>
      </c>
      <c r="F70" s="11" t="s">
        <v>438</v>
      </c>
      <c r="G70" s="11" t="s">
        <v>439</v>
      </c>
      <c r="H70" s="10" t="s">
        <v>38</v>
      </c>
      <c r="I70" s="10" t="s">
        <v>22</v>
      </c>
      <c r="J70" s="12" t="s">
        <v>428</v>
      </c>
      <c r="K70" s="13" t="s">
        <v>24</v>
      </c>
      <c r="L70" s="14" t="s">
        <v>440</v>
      </c>
      <c r="M70" s="13" t="s">
        <v>26</v>
      </c>
      <c r="N70" s="15">
        <v>46321</v>
      </c>
    </row>
    <row r="71" spans="1:14" ht="25.5" x14ac:dyDescent="0.25">
      <c r="A71" s="10" t="s">
        <v>441</v>
      </c>
      <c r="B71" s="11" t="s">
        <v>390</v>
      </c>
      <c r="C71" s="11" t="s">
        <v>442</v>
      </c>
      <c r="D71" s="10" t="s">
        <v>119</v>
      </c>
      <c r="E71" s="11" t="s">
        <v>29</v>
      </c>
      <c r="F71" s="11" t="s">
        <v>443</v>
      </c>
      <c r="G71" s="11" t="s">
        <v>444</v>
      </c>
      <c r="H71" s="10" t="s">
        <v>21</v>
      </c>
      <c r="I71" s="10" t="s">
        <v>22</v>
      </c>
      <c r="J71" s="12" t="s">
        <v>163</v>
      </c>
      <c r="K71" s="13" t="s">
        <v>24</v>
      </c>
      <c r="L71" s="14" t="s">
        <v>445</v>
      </c>
      <c r="M71" s="13" t="s">
        <v>26</v>
      </c>
      <c r="N71" s="15">
        <v>46321</v>
      </c>
    </row>
    <row r="72" spans="1:14" ht="25.5" x14ac:dyDescent="0.25">
      <c r="A72" s="10" t="s">
        <v>446</v>
      </c>
      <c r="B72" s="11" t="s">
        <v>390</v>
      </c>
      <c r="C72" s="11" t="s">
        <v>447</v>
      </c>
      <c r="D72" s="10" t="s">
        <v>119</v>
      </c>
      <c r="E72" s="11" t="s">
        <v>153</v>
      </c>
      <c r="F72" s="11" t="s">
        <v>448</v>
      </c>
      <c r="G72" s="11" t="s">
        <v>449</v>
      </c>
      <c r="H72" s="10" t="s">
        <v>21</v>
      </c>
      <c r="I72" s="10" t="s">
        <v>22</v>
      </c>
      <c r="J72" s="12" t="s">
        <v>450</v>
      </c>
      <c r="K72" s="13" t="s">
        <v>24</v>
      </c>
      <c r="L72" s="14" t="s">
        <v>451</v>
      </c>
      <c r="M72" s="13" t="s">
        <v>26</v>
      </c>
      <c r="N72" s="15">
        <v>46321</v>
      </c>
    </row>
    <row r="73" spans="1:14" ht="38.25" x14ac:dyDescent="0.25">
      <c r="A73" s="10" t="s">
        <v>452</v>
      </c>
      <c r="B73" s="11" t="s">
        <v>390</v>
      </c>
      <c r="C73" s="11" t="s">
        <v>453</v>
      </c>
      <c r="D73" s="10" t="s">
        <v>119</v>
      </c>
      <c r="E73" s="11" t="s">
        <v>320</v>
      </c>
      <c r="F73" s="11" t="s">
        <v>454</v>
      </c>
      <c r="G73" s="11" t="s">
        <v>455</v>
      </c>
      <c r="H73" s="10" t="s">
        <v>21</v>
      </c>
      <c r="I73" s="10" t="s">
        <v>22</v>
      </c>
      <c r="J73" s="12" t="s">
        <v>456</v>
      </c>
      <c r="K73" s="13" t="s">
        <v>24</v>
      </c>
      <c r="L73" s="14" t="s">
        <v>457</v>
      </c>
      <c r="M73" s="13" t="s">
        <v>26</v>
      </c>
      <c r="N73" s="15">
        <v>46321</v>
      </c>
    </row>
    <row r="74" spans="1:14" ht="25.5" x14ac:dyDescent="0.25">
      <c r="A74" s="10" t="s">
        <v>458</v>
      </c>
      <c r="B74" s="11" t="s">
        <v>390</v>
      </c>
      <c r="C74" s="11" t="s">
        <v>459</v>
      </c>
      <c r="D74" s="10" t="s">
        <v>119</v>
      </c>
      <c r="E74" s="11" t="s">
        <v>460</v>
      </c>
      <c r="F74" s="11" t="s">
        <v>461</v>
      </c>
      <c r="G74" s="11" t="s">
        <v>462</v>
      </c>
      <c r="H74" s="10" t="s">
        <v>21</v>
      </c>
      <c r="I74" s="10" t="s">
        <v>22</v>
      </c>
      <c r="J74" s="12" t="s">
        <v>463</v>
      </c>
      <c r="K74" s="13" t="s">
        <v>24</v>
      </c>
      <c r="L74" s="14" t="s">
        <v>464</v>
      </c>
      <c r="M74" s="13" t="s">
        <v>26</v>
      </c>
      <c r="N74" s="15">
        <v>46321</v>
      </c>
    </row>
    <row r="75" spans="1:14" ht="25.5" x14ac:dyDescent="0.25">
      <c r="A75" s="10" t="s">
        <v>465</v>
      </c>
      <c r="B75" s="11" t="s">
        <v>390</v>
      </c>
      <c r="C75" s="11" t="s">
        <v>466</v>
      </c>
      <c r="D75" s="10" t="s">
        <v>119</v>
      </c>
      <c r="E75" s="11" t="s">
        <v>467</v>
      </c>
      <c r="F75" s="11" t="s">
        <v>468</v>
      </c>
      <c r="G75" s="11" t="s">
        <v>469</v>
      </c>
      <c r="H75" s="10" t="s">
        <v>38</v>
      </c>
      <c r="I75" s="10" t="s">
        <v>81</v>
      </c>
      <c r="J75" s="12" t="s">
        <v>29</v>
      </c>
      <c r="K75" s="13" t="s">
        <v>24</v>
      </c>
      <c r="L75" s="14" t="s">
        <v>25</v>
      </c>
      <c r="M75" s="13" t="s">
        <v>26</v>
      </c>
      <c r="N75" s="15">
        <v>46321</v>
      </c>
    </row>
    <row r="76" spans="1:14" ht="25.5" x14ac:dyDescent="0.25">
      <c r="A76" s="10" t="s">
        <v>470</v>
      </c>
      <c r="B76" s="11" t="s">
        <v>390</v>
      </c>
      <c r="C76" s="11" t="s">
        <v>471</v>
      </c>
      <c r="D76" s="10" t="s">
        <v>119</v>
      </c>
      <c r="E76" s="11" t="s">
        <v>472</v>
      </c>
      <c r="F76" s="11" t="s">
        <v>473</v>
      </c>
      <c r="G76" s="11" t="s">
        <v>474</v>
      </c>
      <c r="H76" s="10" t="s">
        <v>38</v>
      </c>
      <c r="I76" s="10" t="s">
        <v>81</v>
      </c>
      <c r="J76" s="12" t="s">
        <v>29</v>
      </c>
      <c r="K76" s="13" t="s">
        <v>24</v>
      </c>
      <c r="L76" s="14" t="s">
        <v>475</v>
      </c>
      <c r="M76" s="13" t="s">
        <v>26</v>
      </c>
      <c r="N76" s="15">
        <v>46321</v>
      </c>
    </row>
    <row r="77" spans="1:14" ht="25.5" x14ac:dyDescent="0.25">
      <c r="A77" s="10" t="s">
        <v>476</v>
      </c>
      <c r="B77" s="11" t="s">
        <v>390</v>
      </c>
      <c r="C77" s="11" t="s">
        <v>477</v>
      </c>
      <c r="D77" s="10" t="s">
        <v>171</v>
      </c>
      <c r="E77" s="11" t="s">
        <v>478</v>
      </c>
      <c r="F77" s="11" t="s">
        <v>479</v>
      </c>
      <c r="G77" s="11" t="s">
        <v>480</v>
      </c>
      <c r="H77" s="10" t="s">
        <v>38</v>
      </c>
      <c r="I77" s="10" t="s">
        <v>22</v>
      </c>
      <c r="J77" s="12" t="s">
        <v>132</v>
      </c>
      <c r="K77" s="13" t="s">
        <v>24</v>
      </c>
      <c r="L77" s="14" t="s">
        <v>25</v>
      </c>
      <c r="M77" s="13" t="s">
        <v>26</v>
      </c>
      <c r="N77" s="15">
        <v>46321</v>
      </c>
    </row>
    <row r="78" spans="1:14" ht="25.5" x14ac:dyDescent="0.25">
      <c r="A78" s="10" t="s">
        <v>481</v>
      </c>
      <c r="B78" s="11" t="s">
        <v>482</v>
      </c>
      <c r="C78" s="11" t="s">
        <v>483</v>
      </c>
      <c r="D78" s="10" t="s">
        <v>17</v>
      </c>
      <c r="E78" s="11" t="s">
        <v>484</v>
      </c>
      <c r="F78" s="11" t="s">
        <v>485</v>
      </c>
      <c r="G78" s="11" t="s">
        <v>486</v>
      </c>
      <c r="H78" s="10" t="s">
        <v>38</v>
      </c>
      <c r="I78" s="10" t="s">
        <v>81</v>
      </c>
      <c r="J78" s="12" t="s">
        <v>29</v>
      </c>
      <c r="K78" s="13" t="s">
        <v>24</v>
      </c>
      <c r="L78" s="14" t="s">
        <v>25</v>
      </c>
      <c r="M78" s="13" t="s">
        <v>26</v>
      </c>
      <c r="N78" s="15">
        <v>46321</v>
      </c>
    </row>
    <row r="79" spans="1:14" ht="25.5" x14ac:dyDescent="0.25">
      <c r="A79" s="10" t="s">
        <v>487</v>
      </c>
      <c r="B79" s="11" t="s">
        <v>482</v>
      </c>
      <c r="C79" s="11" t="s">
        <v>488</v>
      </c>
      <c r="D79" s="10" t="s">
        <v>17</v>
      </c>
      <c r="E79" s="11" t="s">
        <v>489</v>
      </c>
      <c r="F79" s="11" t="s">
        <v>490</v>
      </c>
      <c r="G79" s="11" t="s">
        <v>491</v>
      </c>
      <c r="H79" s="10" t="s">
        <v>38</v>
      </c>
      <c r="I79" s="10" t="s">
        <v>81</v>
      </c>
      <c r="J79" s="12" t="s">
        <v>29</v>
      </c>
      <c r="K79" s="13" t="s">
        <v>24</v>
      </c>
      <c r="L79" s="14" t="s">
        <v>25</v>
      </c>
      <c r="M79" s="13" t="s">
        <v>26</v>
      </c>
      <c r="N79" s="15">
        <v>46321</v>
      </c>
    </row>
    <row r="80" spans="1:14" ht="38.25" x14ac:dyDescent="0.25">
      <c r="A80" s="10" t="s">
        <v>492</v>
      </c>
      <c r="B80" s="11" t="s">
        <v>482</v>
      </c>
      <c r="C80" s="11" t="s">
        <v>493</v>
      </c>
      <c r="D80" s="10" t="s">
        <v>383</v>
      </c>
      <c r="E80" s="11" t="s">
        <v>494</v>
      </c>
      <c r="F80" s="11" t="s">
        <v>495</v>
      </c>
      <c r="G80" s="11" t="s">
        <v>496</v>
      </c>
      <c r="H80" s="10" t="s">
        <v>21</v>
      </c>
      <c r="I80" s="10" t="s">
        <v>22</v>
      </c>
      <c r="J80" s="12" t="s">
        <v>156</v>
      </c>
      <c r="K80" s="13" t="s">
        <v>24</v>
      </c>
      <c r="L80" s="14" t="s">
        <v>497</v>
      </c>
      <c r="M80" s="13" t="s">
        <v>26</v>
      </c>
      <c r="N80" s="15">
        <v>46321</v>
      </c>
    </row>
    <row r="81" spans="1:14" ht="25.5" x14ac:dyDescent="0.25">
      <c r="A81" s="10" t="s">
        <v>498</v>
      </c>
      <c r="B81" s="11" t="s">
        <v>482</v>
      </c>
      <c r="C81" s="11" t="s">
        <v>499</v>
      </c>
      <c r="D81" s="10" t="s">
        <v>119</v>
      </c>
      <c r="E81" s="11" t="s">
        <v>500</v>
      </c>
      <c r="F81" s="11" t="s">
        <v>501</v>
      </c>
      <c r="G81" s="11" t="s">
        <v>502</v>
      </c>
      <c r="H81" s="10" t="s">
        <v>21</v>
      </c>
      <c r="I81" s="10" t="s">
        <v>22</v>
      </c>
      <c r="J81" s="12" t="s">
        <v>503</v>
      </c>
      <c r="K81" s="13" t="s">
        <v>24</v>
      </c>
      <c r="L81" s="14" t="s">
        <v>25</v>
      </c>
      <c r="M81" s="13" t="s">
        <v>26</v>
      </c>
      <c r="N81" s="15">
        <v>46321</v>
      </c>
    </row>
    <row r="82" spans="1:14" ht="38.25" x14ac:dyDescent="0.25">
      <c r="A82" s="10" t="s">
        <v>504</v>
      </c>
      <c r="B82" s="11" t="s">
        <v>482</v>
      </c>
      <c r="C82" s="11" t="s">
        <v>505</v>
      </c>
      <c r="D82" s="10" t="s">
        <v>119</v>
      </c>
      <c r="E82" s="11" t="s">
        <v>506</v>
      </c>
      <c r="F82" s="11" t="s">
        <v>507</v>
      </c>
      <c r="G82" s="11" t="s">
        <v>508</v>
      </c>
      <c r="H82" s="10" t="s">
        <v>21</v>
      </c>
      <c r="I82" s="10" t="s">
        <v>22</v>
      </c>
      <c r="J82" s="12" t="s">
        <v>509</v>
      </c>
      <c r="K82" s="13" t="s">
        <v>24</v>
      </c>
      <c r="L82" s="14" t="s">
        <v>510</v>
      </c>
      <c r="M82" s="13" t="s">
        <v>26</v>
      </c>
      <c r="N82" s="15">
        <v>46321</v>
      </c>
    </row>
    <row r="83" spans="1:14" ht="51" x14ac:dyDescent="0.25">
      <c r="A83" s="10" t="s">
        <v>511</v>
      </c>
      <c r="B83" s="11" t="s">
        <v>482</v>
      </c>
      <c r="C83" s="11" t="s">
        <v>512</v>
      </c>
      <c r="D83" s="10" t="s">
        <v>119</v>
      </c>
      <c r="E83" s="11" t="s">
        <v>513</v>
      </c>
      <c r="F83" s="11" t="s">
        <v>514</v>
      </c>
      <c r="G83" s="11" t="s">
        <v>515</v>
      </c>
      <c r="H83" s="10" t="s">
        <v>38</v>
      </c>
      <c r="I83" s="10" t="s">
        <v>22</v>
      </c>
      <c r="J83" s="12" t="s">
        <v>509</v>
      </c>
      <c r="K83" s="13" t="s">
        <v>24</v>
      </c>
      <c r="L83" s="14" t="s">
        <v>516</v>
      </c>
      <c r="M83" s="13" t="s">
        <v>26</v>
      </c>
      <c r="N83" s="15">
        <v>46321</v>
      </c>
    </row>
    <row r="84" spans="1:14" ht="38.25" x14ac:dyDescent="0.25">
      <c r="A84" s="10" t="s">
        <v>517</v>
      </c>
      <c r="B84" s="11" t="s">
        <v>482</v>
      </c>
      <c r="C84" s="11" t="s">
        <v>518</v>
      </c>
      <c r="D84" s="10" t="s">
        <v>119</v>
      </c>
      <c r="E84" s="11" t="s">
        <v>519</v>
      </c>
      <c r="F84" s="11" t="s">
        <v>520</v>
      </c>
      <c r="G84" s="11" t="s">
        <v>260</v>
      </c>
      <c r="H84" s="10" t="s">
        <v>21</v>
      </c>
      <c r="I84" s="10" t="s">
        <v>22</v>
      </c>
      <c r="J84" s="12" t="s">
        <v>509</v>
      </c>
      <c r="K84" s="13" t="s">
        <v>24</v>
      </c>
      <c r="L84" s="14" t="s">
        <v>521</v>
      </c>
      <c r="M84" s="13" t="s">
        <v>26</v>
      </c>
      <c r="N84" s="15">
        <v>46321</v>
      </c>
    </row>
    <row r="85" spans="1:14" ht="25.5" x14ac:dyDescent="0.25">
      <c r="A85" s="10" t="s">
        <v>522</v>
      </c>
      <c r="B85" s="11" t="s">
        <v>482</v>
      </c>
      <c r="C85" s="11" t="s">
        <v>523</v>
      </c>
      <c r="D85" s="10" t="s">
        <v>119</v>
      </c>
      <c r="E85" s="11" t="s">
        <v>524</v>
      </c>
      <c r="F85" s="11" t="s">
        <v>525</v>
      </c>
      <c r="G85" s="11" t="s">
        <v>526</v>
      </c>
      <c r="H85" s="10" t="s">
        <v>21</v>
      </c>
      <c r="I85" s="10" t="s">
        <v>22</v>
      </c>
      <c r="J85" s="12" t="s">
        <v>527</v>
      </c>
      <c r="K85" s="13" t="s">
        <v>24</v>
      </c>
      <c r="L85" s="14" t="s">
        <v>528</v>
      </c>
      <c r="M85" s="13" t="s">
        <v>26</v>
      </c>
      <c r="N85" s="15">
        <v>46321</v>
      </c>
    </row>
    <row r="86" spans="1:14" ht="38.25" x14ac:dyDescent="0.25">
      <c r="A86" s="10" t="s">
        <v>529</v>
      </c>
      <c r="B86" s="11" t="s">
        <v>482</v>
      </c>
      <c r="C86" s="11" t="s">
        <v>530</v>
      </c>
      <c r="D86" s="10" t="s">
        <v>171</v>
      </c>
      <c r="E86" s="11" t="s">
        <v>531</v>
      </c>
      <c r="F86" s="11" t="s">
        <v>532</v>
      </c>
      <c r="G86" s="11" t="s">
        <v>533</v>
      </c>
      <c r="H86" s="10" t="s">
        <v>21</v>
      </c>
      <c r="I86" s="10" t="s">
        <v>22</v>
      </c>
      <c r="J86" s="12" t="s">
        <v>534</v>
      </c>
      <c r="K86" s="13" t="s">
        <v>24</v>
      </c>
      <c r="L86" s="14" t="s">
        <v>25</v>
      </c>
      <c r="M86" s="13" t="s">
        <v>26</v>
      </c>
      <c r="N86" s="15">
        <v>46321</v>
      </c>
    </row>
    <row r="87" spans="1:14" ht="38.25" x14ac:dyDescent="0.25">
      <c r="A87" s="10" t="s">
        <v>535</v>
      </c>
      <c r="B87" s="11" t="s">
        <v>482</v>
      </c>
      <c r="C87" s="11" t="s">
        <v>536</v>
      </c>
      <c r="D87" s="10" t="s">
        <v>171</v>
      </c>
      <c r="E87" s="11" t="s">
        <v>537</v>
      </c>
      <c r="F87" s="11" t="s">
        <v>538</v>
      </c>
      <c r="G87" s="11" t="s">
        <v>260</v>
      </c>
      <c r="H87" s="10" t="s">
        <v>21</v>
      </c>
      <c r="I87" s="10" t="s">
        <v>22</v>
      </c>
      <c r="J87" s="12" t="s">
        <v>534</v>
      </c>
      <c r="K87" s="13" t="s">
        <v>24</v>
      </c>
      <c r="L87" s="14" t="s">
        <v>539</v>
      </c>
      <c r="M87" s="13" t="s">
        <v>26</v>
      </c>
      <c r="N87" s="15">
        <v>46321</v>
      </c>
    </row>
    <row r="88" spans="1:14" ht="38.25" x14ac:dyDescent="0.25">
      <c r="A88" s="10" t="s">
        <v>540</v>
      </c>
      <c r="B88" s="11" t="s">
        <v>482</v>
      </c>
      <c r="C88" s="11" t="s">
        <v>541</v>
      </c>
      <c r="D88" s="10" t="s">
        <v>17</v>
      </c>
      <c r="E88" s="11" t="s">
        <v>542</v>
      </c>
      <c r="F88" s="11" t="s">
        <v>543</v>
      </c>
      <c r="G88" s="11" t="s">
        <v>544</v>
      </c>
      <c r="H88" s="10" t="s">
        <v>80</v>
      </c>
      <c r="I88" s="10" t="s">
        <v>81</v>
      </c>
      <c r="J88" s="12" t="s">
        <v>29</v>
      </c>
      <c r="K88" s="13" t="s">
        <v>24</v>
      </c>
      <c r="L88" s="14" t="s">
        <v>545</v>
      </c>
      <c r="M88" s="13" t="s">
        <v>26</v>
      </c>
      <c r="N88" s="15">
        <v>46321</v>
      </c>
    </row>
    <row r="89" spans="1:14" ht="25.5" x14ac:dyDescent="0.25">
      <c r="A89" s="10" t="s">
        <v>546</v>
      </c>
      <c r="B89" s="11" t="s">
        <v>547</v>
      </c>
      <c r="C89" s="11" t="s">
        <v>548</v>
      </c>
      <c r="D89" s="10" t="s">
        <v>119</v>
      </c>
      <c r="E89" s="11" t="s">
        <v>29</v>
      </c>
      <c r="F89" s="11" t="s">
        <v>549</v>
      </c>
      <c r="G89" s="11" t="s">
        <v>550</v>
      </c>
      <c r="H89" s="10" t="s">
        <v>38</v>
      </c>
      <c r="I89" s="10" t="s">
        <v>81</v>
      </c>
      <c r="J89" s="12" t="s">
        <v>29</v>
      </c>
      <c r="K89" s="13" t="s">
        <v>24</v>
      </c>
      <c r="L89" s="14" t="s">
        <v>25</v>
      </c>
      <c r="M89" s="13" t="s">
        <v>26</v>
      </c>
      <c r="N89" s="15">
        <v>46321</v>
      </c>
    </row>
    <row r="90" spans="1:14" ht="38.25" x14ac:dyDescent="0.25">
      <c r="A90" s="10" t="s">
        <v>551</v>
      </c>
      <c r="B90" s="11" t="s">
        <v>547</v>
      </c>
      <c r="C90" s="11" t="s">
        <v>552</v>
      </c>
      <c r="D90" s="10" t="s">
        <v>383</v>
      </c>
      <c r="E90" s="11" t="s">
        <v>553</v>
      </c>
      <c r="F90" s="11" t="s">
        <v>554</v>
      </c>
      <c r="G90" s="11" t="s">
        <v>555</v>
      </c>
      <c r="H90" s="10" t="s">
        <v>21</v>
      </c>
      <c r="I90" s="10" t="s">
        <v>22</v>
      </c>
      <c r="J90" s="12" t="s">
        <v>556</v>
      </c>
      <c r="K90" s="13" t="s">
        <v>24</v>
      </c>
      <c r="L90" s="14" t="s">
        <v>557</v>
      </c>
      <c r="M90" s="13" t="s">
        <v>26</v>
      </c>
      <c r="N90" s="15">
        <v>46321</v>
      </c>
    </row>
    <row r="91" spans="1:14" ht="25.5" x14ac:dyDescent="0.25">
      <c r="A91" s="10" t="s">
        <v>558</v>
      </c>
      <c r="B91" s="11" t="s">
        <v>547</v>
      </c>
      <c r="C91" s="11" t="s">
        <v>559</v>
      </c>
      <c r="D91" s="10" t="s">
        <v>17</v>
      </c>
      <c r="E91" s="11" t="s">
        <v>560</v>
      </c>
      <c r="F91" s="11" t="s">
        <v>561</v>
      </c>
      <c r="G91" s="11" t="s">
        <v>562</v>
      </c>
      <c r="H91" s="10" t="s">
        <v>38</v>
      </c>
      <c r="I91" s="10" t="s">
        <v>81</v>
      </c>
      <c r="J91" s="12" t="s">
        <v>29</v>
      </c>
      <c r="K91" s="13" t="s">
        <v>24</v>
      </c>
      <c r="L91" s="14" t="s">
        <v>25</v>
      </c>
      <c r="M91" s="13" t="s">
        <v>26</v>
      </c>
      <c r="N91" s="15">
        <v>46321</v>
      </c>
    </row>
    <row r="92" spans="1:14" ht="25.5" x14ac:dyDescent="0.25">
      <c r="A92" s="10" t="s">
        <v>563</v>
      </c>
      <c r="B92" s="11" t="s">
        <v>547</v>
      </c>
      <c r="C92" s="11" t="s">
        <v>564</v>
      </c>
      <c r="D92" s="10" t="s">
        <v>17</v>
      </c>
      <c r="E92" s="11" t="s">
        <v>565</v>
      </c>
      <c r="F92" s="11" t="s">
        <v>566</v>
      </c>
      <c r="G92" s="11" t="s">
        <v>567</v>
      </c>
      <c r="H92" s="10" t="s">
        <v>80</v>
      </c>
      <c r="I92" s="10" t="s">
        <v>81</v>
      </c>
      <c r="J92" s="12" t="s">
        <v>29</v>
      </c>
      <c r="K92" s="13" t="s">
        <v>24</v>
      </c>
      <c r="L92" s="14" t="s">
        <v>568</v>
      </c>
      <c r="M92" s="13" t="s">
        <v>26</v>
      </c>
      <c r="N92" s="15">
        <v>46321</v>
      </c>
    </row>
    <row r="93" spans="1:14" ht="25.5" x14ac:dyDescent="0.25">
      <c r="A93" s="10" t="s">
        <v>569</v>
      </c>
      <c r="B93" s="11" t="s">
        <v>547</v>
      </c>
      <c r="C93" s="11" t="s">
        <v>570</v>
      </c>
      <c r="D93" s="10" t="s">
        <v>17</v>
      </c>
      <c r="E93" s="11" t="s">
        <v>571</v>
      </c>
      <c r="F93" s="11" t="s">
        <v>572</v>
      </c>
      <c r="G93" s="11" t="s">
        <v>573</v>
      </c>
      <c r="H93" s="10" t="s">
        <v>38</v>
      </c>
      <c r="I93" s="10" t="s">
        <v>81</v>
      </c>
      <c r="J93" s="12" t="s">
        <v>29</v>
      </c>
      <c r="K93" s="13" t="s">
        <v>24</v>
      </c>
      <c r="L93" s="14" t="s">
        <v>25</v>
      </c>
      <c r="M93" s="13" t="s">
        <v>26</v>
      </c>
      <c r="N93" s="15">
        <v>46321</v>
      </c>
    </row>
    <row r="94" spans="1:14" ht="38.25" x14ac:dyDescent="0.25">
      <c r="A94" s="10" t="s">
        <v>574</v>
      </c>
      <c r="B94" s="11" t="s">
        <v>575</v>
      </c>
      <c r="C94" s="11" t="s">
        <v>576</v>
      </c>
      <c r="D94" s="10" t="s">
        <v>119</v>
      </c>
      <c r="E94" s="11" t="s">
        <v>29</v>
      </c>
      <c r="F94" s="11" t="s">
        <v>577</v>
      </c>
      <c r="G94" s="11" t="s">
        <v>578</v>
      </c>
      <c r="H94" s="10" t="s">
        <v>21</v>
      </c>
      <c r="I94" s="10" t="s">
        <v>22</v>
      </c>
      <c r="J94" s="12" t="s">
        <v>579</v>
      </c>
      <c r="K94" s="13" t="s">
        <v>24</v>
      </c>
      <c r="L94" s="14" t="s">
        <v>580</v>
      </c>
      <c r="M94" s="13" t="s">
        <v>26</v>
      </c>
      <c r="N94" s="15">
        <v>46321</v>
      </c>
    </row>
    <row r="95" spans="1:14" ht="38.25" x14ac:dyDescent="0.25">
      <c r="A95" s="10" t="s">
        <v>581</v>
      </c>
      <c r="B95" s="11" t="s">
        <v>575</v>
      </c>
      <c r="C95" s="11" t="s">
        <v>582</v>
      </c>
      <c r="D95" s="10" t="s">
        <v>383</v>
      </c>
      <c r="E95" s="11" t="s">
        <v>583</v>
      </c>
      <c r="F95" s="11" t="s">
        <v>584</v>
      </c>
      <c r="G95" s="11" t="s">
        <v>585</v>
      </c>
      <c r="H95" s="10" t="s">
        <v>21</v>
      </c>
      <c r="I95" s="10" t="s">
        <v>22</v>
      </c>
      <c r="J95" s="12" t="s">
        <v>579</v>
      </c>
      <c r="K95" s="13" t="s">
        <v>24</v>
      </c>
      <c r="L95" s="14" t="s">
        <v>586</v>
      </c>
      <c r="M95" s="13" t="s">
        <v>26</v>
      </c>
      <c r="N95" s="15">
        <v>46321</v>
      </c>
    </row>
    <row r="96" spans="1:14" ht="25.5" x14ac:dyDescent="0.25">
      <c r="A96" s="10" t="s">
        <v>587</v>
      </c>
      <c r="B96" s="11" t="s">
        <v>575</v>
      </c>
      <c r="C96" s="11" t="s">
        <v>588</v>
      </c>
      <c r="D96" s="10" t="s">
        <v>383</v>
      </c>
      <c r="E96" s="11" t="s">
        <v>583</v>
      </c>
      <c r="F96" s="11" t="s">
        <v>589</v>
      </c>
      <c r="G96" s="11" t="s">
        <v>590</v>
      </c>
      <c r="H96" s="10" t="s">
        <v>21</v>
      </c>
      <c r="I96" s="10" t="s">
        <v>22</v>
      </c>
      <c r="J96" s="12" t="s">
        <v>591</v>
      </c>
      <c r="K96" s="13" t="s">
        <v>24</v>
      </c>
      <c r="L96" s="14" t="s">
        <v>25</v>
      </c>
      <c r="M96" s="13" t="s">
        <v>26</v>
      </c>
      <c r="N96" s="15">
        <v>46321</v>
      </c>
    </row>
    <row r="97" spans="1:14" ht="63.75" x14ac:dyDescent="0.25">
      <c r="A97" s="10" t="s">
        <v>592</v>
      </c>
      <c r="B97" s="11" t="s">
        <v>575</v>
      </c>
      <c r="C97" s="11" t="s">
        <v>593</v>
      </c>
      <c r="D97" s="10" t="s">
        <v>119</v>
      </c>
      <c r="E97" s="11" t="s">
        <v>594</v>
      </c>
      <c r="F97" s="11" t="s">
        <v>595</v>
      </c>
      <c r="G97" s="11" t="s">
        <v>596</v>
      </c>
      <c r="H97" s="10" t="s">
        <v>21</v>
      </c>
      <c r="I97" s="10" t="s">
        <v>22</v>
      </c>
      <c r="J97" s="12" t="s">
        <v>597</v>
      </c>
      <c r="K97" s="13" t="s">
        <v>24</v>
      </c>
      <c r="L97" s="14" t="s">
        <v>598</v>
      </c>
      <c r="M97" s="13" t="s">
        <v>26</v>
      </c>
      <c r="N97" s="15">
        <v>46321</v>
      </c>
    </row>
    <row r="98" spans="1:14" ht="25.5" x14ac:dyDescent="0.25">
      <c r="A98" s="10" t="s">
        <v>599</v>
      </c>
      <c r="B98" s="11" t="s">
        <v>575</v>
      </c>
      <c r="C98" s="11" t="s">
        <v>600</v>
      </c>
      <c r="D98" s="10" t="s">
        <v>383</v>
      </c>
      <c r="E98" s="11" t="s">
        <v>601</v>
      </c>
      <c r="F98" s="11" t="s">
        <v>602</v>
      </c>
      <c r="G98" s="11" t="s">
        <v>603</v>
      </c>
      <c r="H98" s="10" t="s">
        <v>38</v>
      </c>
      <c r="I98" s="10" t="s">
        <v>81</v>
      </c>
      <c r="J98" s="12" t="s">
        <v>29</v>
      </c>
      <c r="K98" s="13" t="s">
        <v>24</v>
      </c>
      <c r="L98" s="14" t="s">
        <v>604</v>
      </c>
      <c r="M98" s="13" t="s">
        <v>26</v>
      </c>
      <c r="N98" s="15">
        <v>46321</v>
      </c>
    </row>
    <row r="99" spans="1:14" ht="25.5" x14ac:dyDescent="0.25">
      <c r="A99" s="10" t="s">
        <v>605</v>
      </c>
      <c r="B99" s="11" t="s">
        <v>575</v>
      </c>
      <c r="C99" s="11" t="s">
        <v>606</v>
      </c>
      <c r="D99" s="10" t="s">
        <v>383</v>
      </c>
      <c r="E99" s="11" t="s">
        <v>607</v>
      </c>
      <c r="F99" s="11" t="s">
        <v>608</v>
      </c>
      <c r="G99" s="11" t="s">
        <v>609</v>
      </c>
      <c r="H99" s="10" t="s">
        <v>80</v>
      </c>
      <c r="I99" s="10" t="s">
        <v>81</v>
      </c>
      <c r="J99" s="12" t="s">
        <v>29</v>
      </c>
      <c r="K99" s="13" t="s">
        <v>24</v>
      </c>
      <c r="L99" s="14" t="s">
        <v>25</v>
      </c>
      <c r="M99" s="13" t="s">
        <v>26</v>
      </c>
      <c r="N99" s="15">
        <v>46321</v>
      </c>
    </row>
    <row r="100" spans="1:14" ht="38.25" x14ac:dyDescent="0.25">
      <c r="A100" s="10" t="s">
        <v>610</v>
      </c>
      <c r="B100" s="11" t="s">
        <v>611</v>
      </c>
      <c r="C100" s="11" t="s">
        <v>612</v>
      </c>
      <c r="D100" s="10" t="s">
        <v>85</v>
      </c>
      <c r="E100" s="11" t="s">
        <v>613</v>
      </c>
      <c r="F100" s="11" t="s">
        <v>614</v>
      </c>
      <c r="G100" s="11" t="s">
        <v>615</v>
      </c>
      <c r="H100" s="10" t="s">
        <v>38</v>
      </c>
      <c r="I100" s="10" t="s">
        <v>22</v>
      </c>
      <c r="J100" s="12" t="s">
        <v>616</v>
      </c>
      <c r="K100" s="13" t="s">
        <v>24</v>
      </c>
      <c r="L100" s="14" t="s">
        <v>25</v>
      </c>
      <c r="M100" s="13" t="s">
        <v>26</v>
      </c>
      <c r="N100" s="15">
        <v>46321</v>
      </c>
    </row>
    <row r="101" spans="1:14" ht="38.25" x14ac:dyDescent="0.25">
      <c r="A101" s="10" t="s">
        <v>617</v>
      </c>
      <c r="B101" s="11" t="s">
        <v>611</v>
      </c>
      <c r="C101" s="11" t="s">
        <v>618</v>
      </c>
      <c r="D101" s="10" t="s">
        <v>85</v>
      </c>
      <c r="E101" s="11" t="s">
        <v>29</v>
      </c>
      <c r="F101" s="11" t="s">
        <v>619</v>
      </c>
      <c r="G101" s="11" t="s">
        <v>620</v>
      </c>
      <c r="H101" s="10" t="s">
        <v>21</v>
      </c>
      <c r="I101" s="10" t="s">
        <v>22</v>
      </c>
      <c r="J101" s="12" t="s">
        <v>621</v>
      </c>
      <c r="K101" s="13" t="s">
        <v>24</v>
      </c>
      <c r="L101" s="14" t="s">
        <v>25</v>
      </c>
      <c r="M101" s="13" t="s">
        <v>26</v>
      </c>
      <c r="N101" s="15">
        <v>46321</v>
      </c>
    </row>
    <row r="102" spans="1:14" ht="25.5" x14ac:dyDescent="0.25">
      <c r="A102" s="10" t="s">
        <v>622</v>
      </c>
      <c r="B102" s="11" t="s">
        <v>611</v>
      </c>
      <c r="C102" s="11" t="s">
        <v>623</v>
      </c>
      <c r="D102" s="10" t="s">
        <v>383</v>
      </c>
      <c r="E102" s="11" t="s">
        <v>624</v>
      </c>
      <c r="F102" s="11" t="s">
        <v>625</v>
      </c>
      <c r="G102" s="11" t="s">
        <v>626</v>
      </c>
      <c r="H102" s="10" t="s">
        <v>21</v>
      </c>
      <c r="I102" s="10" t="s">
        <v>22</v>
      </c>
      <c r="J102" s="12" t="s">
        <v>627</v>
      </c>
      <c r="K102" s="13" t="s">
        <v>24</v>
      </c>
      <c r="L102" s="14" t="s">
        <v>25</v>
      </c>
      <c r="M102" s="13" t="s">
        <v>26</v>
      </c>
      <c r="N102" s="15">
        <v>46321</v>
      </c>
    </row>
    <row r="103" spans="1:14" ht="38.25" x14ac:dyDescent="0.25">
      <c r="A103" s="10" t="s">
        <v>628</v>
      </c>
      <c r="B103" s="11" t="s">
        <v>611</v>
      </c>
      <c r="C103" s="11" t="s">
        <v>629</v>
      </c>
      <c r="D103" s="10" t="s">
        <v>383</v>
      </c>
      <c r="E103" s="11" t="s">
        <v>630</v>
      </c>
      <c r="F103" s="11" t="s">
        <v>631</v>
      </c>
      <c r="G103" s="11" t="s">
        <v>632</v>
      </c>
      <c r="H103" s="10" t="s">
        <v>21</v>
      </c>
      <c r="I103" s="10" t="s">
        <v>22</v>
      </c>
      <c r="J103" s="12" t="s">
        <v>627</v>
      </c>
      <c r="K103" s="13" t="s">
        <v>24</v>
      </c>
      <c r="L103" s="14" t="s">
        <v>633</v>
      </c>
      <c r="M103" s="13" t="s">
        <v>26</v>
      </c>
      <c r="N103" s="15">
        <v>46321</v>
      </c>
    </row>
    <row r="104" spans="1:14" ht="38.25" x14ac:dyDescent="0.25">
      <c r="A104" s="10" t="s">
        <v>634</v>
      </c>
      <c r="B104" s="11" t="s">
        <v>611</v>
      </c>
      <c r="C104" s="11" t="s">
        <v>635</v>
      </c>
      <c r="D104" s="10" t="s">
        <v>119</v>
      </c>
      <c r="E104" s="11" t="s">
        <v>636</v>
      </c>
      <c r="F104" s="11" t="s">
        <v>637</v>
      </c>
      <c r="G104" s="11" t="s">
        <v>638</v>
      </c>
      <c r="H104" s="10" t="s">
        <v>38</v>
      </c>
      <c r="I104" s="10" t="s">
        <v>22</v>
      </c>
      <c r="J104" s="12" t="s">
        <v>639</v>
      </c>
      <c r="K104" s="13" t="s">
        <v>24</v>
      </c>
      <c r="L104" s="14" t="s">
        <v>640</v>
      </c>
      <c r="M104" s="13" t="s">
        <v>26</v>
      </c>
      <c r="N104" s="15">
        <v>46321</v>
      </c>
    </row>
    <row r="105" spans="1:14" ht="38.25" x14ac:dyDescent="0.25">
      <c r="A105" s="10" t="s">
        <v>641</v>
      </c>
      <c r="B105" s="11" t="s">
        <v>642</v>
      </c>
      <c r="C105" s="11" t="s">
        <v>643</v>
      </c>
      <c r="D105" s="10" t="s">
        <v>383</v>
      </c>
      <c r="E105" s="11" t="s">
        <v>644</v>
      </c>
      <c r="F105" s="11" t="s">
        <v>645</v>
      </c>
      <c r="G105" s="11" t="s">
        <v>646</v>
      </c>
      <c r="H105" s="10" t="s">
        <v>21</v>
      </c>
      <c r="I105" s="10" t="s">
        <v>22</v>
      </c>
      <c r="J105" s="12" t="s">
        <v>647</v>
      </c>
      <c r="K105" s="13" t="s">
        <v>24</v>
      </c>
      <c r="L105" s="14" t="s">
        <v>648</v>
      </c>
      <c r="M105" s="13" t="s">
        <v>26</v>
      </c>
      <c r="N105" s="15">
        <v>46321</v>
      </c>
    </row>
    <row r="106" spans="1:14" ht="25.5" x14ac:dyDescent="0.25">
      <c r="A106" s="10" t="s">
        <v>649</v>
      </c>
      <c r="B106" s="11" t="s">
        <v>642</v>
      </c>
      <c r="C106" s="11" t="s">
        <v>650</v>
      </c>
      <c r="D106" s="10" t="s">
        <v>383</v>
      </c>
      <c r="E106" s="11" t="s">
        <v>651</v>
      </c>
      <c r="F106" s="11" t="s">
        <v>652</v>
      </c>
      <c r="G106" s="11" t="s">
        <v>653</v>
      </c>
      <c r="H106" s="10" t="s">
        <v>21</v>
      </c>
      <c r="I106" s="10" t="s">
        <v>22</v>
      </c>
      <c r="J106" s="12" t="s">
        <v>654</v>
      </c>
      <c r="K106" s="13" t="s">
        <v>24</v>
      </c>
      <c r="L106" s="14" t="s">
        <v>25</v>
      </c>
      <c r="M106" s="13" t="s">
        <v>26</v>
      </c>
      <c r="N106" s="15">
        <v>46321</v>
      </c>
    </row>
    <row r="107" spans="1:14" ht="25.5" x14ac:dyDescent="0.25">
      <c r="A107" s="10" t="s">
        <v>655</v>
      </c>
      <c r="B107" s="11" t="s">
        <v>642</v>
      </c>
      <c r="C107" s="11" t="s">
        <v>656</v>
      </c>
      <c r="D107" s="10" t="s">
        <v>383</v>
      </c>
      <c r="E107" s="11" t="s">
        <v>657</v>
      </c>
      <c r="F107" s="11" t="s">
        <v>658</v>
      </c>
      <c r="G107" s="11" t="s">
        <v>659</v>
      </c>
      <c r="H107" s="10" t="s">
        <v>21</v>
      </c>
      <c r="I107" s="10" t="s">
        <v>22</v>
      </c>
      <c r="J107" s="12" t="s">
        <v>660</v>
      </c>
      <c r="K107" s="13" t="s">
        <v>24</v>
      </c>
      <c r="L107" s="14" t="s">
        <v>661</v>
      </c>
      <c r="M107" s="13" t="s">
        <v>26</v>
      </c>
      <c r="N107" s="15">
        <v>46321</v>
      </c>
    </row>
    <row r="108" spans="1:14" ht="38.25" x14ac:dyDescent="0.25">
      <c r="A108" s="10" t="s">
        <v>662</v>
      </c>
      <c r="B108" s="11" t="s">
        <v>642</v>
      </c>
      <c r="C108" s="11" t="s">
        <v>663</v>
      </c>
      <c r="D108" s="10" t="s">
        <v>383</v>
      </c>
      <c r="E108" s="11" t="s">
        <v>29</v>
      </c>
      <c r="F108" s="11" t="s">
        <v>664</v>
      </c>
      <c r="G108" s="11" t="s">
        <v>665</v>
      </c>
      <c r="H108" s="10" t="s">
        <v>21</v>
      </c>
      <c r="I108" s="10" t="s">
        <v>22</v>
      </c>
      <c r="J108" s="12" t="s">
        <v>666</v>
      </c>
      <c r="K108" s="13" t="s">
        <v>24</v>
      </c>
      <c r="L108" s="14" t="s">
        <v>25</v>
      </c>
      <c r="M108" s="13" t="s">
        <v>26</v>
      </c>
      <c r="N108" s="15">
        <v>46321</v>
      </c>
    </row>
    <row r="109" spans="1:14" ht="38.25" x14ac:dyDescent="0.25">
      <c r="A109" s="10" t="s">
        <v>667</v>
      </c>
      <c r="B109" s="11" t="s">
        <v>642</v>
      </c>
      <c r="C109" s="11" t="s">
        <v>668</v>
      </c>
      <c r="D109" s="10" t="s">
        <v>383</v>
      </c>
      <c r="E109" s="11" t="s">
        <v>669</v>
      </c>
      <c r="F109" s="11" t="s">
        <v>670</v>
      </c>
      <c r="G109" s="11" t="s">
        <v>671</v>
      </c>
      <c r="H109" s="10" t="s">
        <v>21</v>
      </c>
      <c r="I109" s="10" t="s">
        <v>22</v>
      </c>
      <c r="J109" s="12" t="s">
        <v>666</v>
      </c>
      <c r="K109" s="13" t="s">
        <v>24</v>
      </c>
      <c r="L109" s="14" t="s">
        <v>25</v>
      </c>
      <c r="M109" s="13" t="s">
        <v>26</v>
      </c>
      <c r="N109" s="15">
        <v>46321</v>
      </c>
    </row>
    <row r="110" spans="1:14" ht="25.5" x14ac:dyDescent="0.25">
      <c r="A110" s="10" t="s">
        <v>672</v>
      </c>
      <c r="B110" s="11" t="s">
        <v>642</v>
      </c>
      <c r="C110" s="11" t="s">
        <v>673</v>
      </c>
      <c r="D110" s="10" t="s">
        <v>383</v>
      </c>
      <c r="E110" s="11" t="s">
        <v>674</v>
      </c>
      <c r="F110" s="11" t="s">
        <v>675</v>
      </c>
      <c r="G110" s="11" t="s">
        <v>676</v>
      </c>
      <c r="H110" s="10" t="s">
        <v>80</v>
      </c>
      <c r="I110" s="10" t="s">
        <v>81</v>
      </c>
      <c r="J110" s="12" t="s">
        <v>29</v>
      </c>
      <c r="K110" s="13" t="s">
        <v>24</v>
      </c>
      <c r="L110" s="14" t="s">
        <v>677</v>
      </c>
      <c r="M110" s="13" t="s">
        <v>26</v>
      </c>
      <c r="N110" s="15">
        <v>46321</v>
      </c>
    </row>
    <row r="111" spans="1:14" ht="25.5" x14ac:dyDescent="0.25">
      <c r="A111" s="10" t="s">
        <v>678</v>
      </c>
      <c r="B111" s="11" t="s">
        <v>679</v>
      </c>
      <c r="C111" s="11" t="s">
        <v>680</v>
      </c>
      <c r="D111" s="10" t="s">
        <v>85</v>
      </c>
      <c r="E111" s="11" t="s">
        <v>681</v>
      </c>
      <c r="F111" s="11" t="s">
        <v>682</v>
      </c>
      <c r="G111" s="11" t="s">
        <v>683</v>
      </c>
      <c r="H111" s="10" t="s">
        <v>21</v>
      </c>
      <c r="I111" s="10" t="s">
        <v>81</v>
      </c>
      <c r="J111" s="12" t="s">
        <v>29</v>
      </c>
      <c r="K111" s="13" t="s">
        <v>24</v>
      </c>
      <c r="L111" s="14" t="s">
        <v>684</v>
      </c>
      <c r="M111" s="13" t="s">
        <v>26</v>
      </c>
      <c r="N111" s="15">
        <v>46321</v>
      </c>
    </row>
    <row r="112" spans="1:14" ht="38.25" x14ac:dyDescent="0.25">
      <c r="A112" s="10" t="s">
        <v>685</v>
      </c>
      <c r="B112" s="11" t="s">
        <v>679</v>
      </c>
      <c r="C112" s="11" t="s">
        <v>686</v>
      </c>
      <c r="D112" s="10" t="s">
        <v>85</v>
      </c>
      <c r="E112" s="11" t="s">
        <v>687</v>
      </c>
      <c r="F112" s="11" t="s">
        <v>688</v>
      </c>
      <c r="G112" s="11" t="s">
        <v>689</v>
      </c>
      <c r="H112" s="10" t="s">
        <v>21</v>
      </c>
      <c r="I112" s="10" t="s">
        <v>22</v>
      </c>
      <c r="J112" s="12" t="s">
        <v>690</v>
      </c>
      <c r="K112" s="13" t="s">
        <v>24</v>
      </c>
      <c r="L112" s="14" t="s">
        <v>691</v>
      </c>
      <c r="M112" s="13" t="s">
        <v>26</v>
      </c>
      <c r="N112" s="15">
        <v>46321</v>
      </c>
    </row>
    <row r="113" spans="1:14" ht="25.5" x14ac:dyDescent="0.25">
      <c r="A113" s="10" t="s">
        <v>692</v>
      </c>
      <c r="B113" s="11" t="s">
        <v>679</v>
      </c>
      <c r="C113" s="11" t="s">
        <v>693</v>
      </c>
      <c r="D113" s="10" t="s">
        <v>85</v>
      </c>
      <c r="E113" s="11" t="s">
        <v>623</v>
      </c>
      <c r="F113" s="11" t="s">
        <v>694</v>
      </c>
      <c r="G113" s="11" t="s">
        <v>695</v>
      </c>
      <c r="H113" s="10" t="s">
        <v>38</v>
      </c>
      <c r="I113" s="10" t="s">
        <v>22</v>
      </c>
      <c r="J113" s="12" t="s">
        <v>690</v>
      </c>
      <c r="K113" s="13" t="s">
        <v>24</v>
      </c>
      <c r="L113" s="14" t="s">
        <v>696</v>
      </c>
      <c r="M113" s="13" t="s">
        <v>26</v>
      </c>
      <c r="N113" s="15">
        <v>46321</v>
      </c>
    </row>
    <row r="114" spans="1:14" ht="38.25" x14ac:dyDescent="0.25">
      <c r="A114" s="10" t="s">
        <v>697</v>
      </c>
      <c r="B114" s="11" t="s">
        <v>679</v>
      </c>
      <c r="C114" s="11" t="s">
        <v>698</v>
      </c>
      <c r="D114" s="10" t="s">
        <v>85</v>
      </c>
      <c r="E114" s="11" t="s">
        <v>29</v>
      </c>
      <c r="F114" s="11" t="s">
        <v>699</v>
      </c>
      <c r="G114" s="11" t="s">
        <v>700</v>
      </c>
      <c r="H114" s="10" t="s">
        <v>80</v>
      </c>
      <c r="I114" s="10" t="s">
        <v>22</v>
      </c>
      <c r="J114" s="12" t="s">
        <v>701</v>
      </c>
      <c r="K114" s="13" t="s">
        <v>24</v>
      </c>
      <c r="L114" s="14" t="s">
        <v>702</v>
      </c>
      <c r="M114" s="13" t="s">
        <v>26</v>
      </c>
      <c r="N114" s="15">
        <v>46321</v>
      </c>
    </row>
    <row r="115" spans="1:14" ht="25.5" x14ac:dyDescent="0.25">
      <c r="A115" s="10" t="s">
        <v>703</v>
      </c>
      <c r="B115" s="11" t="s">
        <v>679</v>
      </c>
      <c r="C115" s="11" t="s">
        <v>704</v>
      </c>
      <c r="D115" s="10" t="s">
        <v>85</v>
      </c>
      <c r="E115" s="11" t="s">
        <v>705</v>
      </c>
      <c r="F115" s="11" t="s">
        <v>706</v>
      </c>
      <c r="G115" s="11" t="s">
        <v>707</v>
      </c>
      <c r="H115" s="10" t="s">
        <v>38</v>
      </c>
      <c r="I115" s="10" t="s">
        <v>81</v>
      </c>
      <c r="J115" s="12" t="s">
        <v>29</v>
      </c>
      <c r="K115" s="13" t="s">
        <v>24</v>
      </c>
      <c r="L115" s="14" t="s">
        <v>25</v>
      </c>
      <c r="M115" s="13" t="s">
        <v>26</v>
      </c>
      <c r="N115" s="15">
        <v>46321</v>
      </c>
    </row>
    <row r="116" spans="1:14" ht="25.5" x14ac:dyDescent="0.25">
      <c r="A116" s="10" t="s">
        <v>708</v>
      </c>
      <c r="B116" s="11" t="s">
        <v>679</v>
      </c>
      <c r="C116" s="11" t="s">
        <v>709</v>
      </c>
      <c r="D116" s="10" t="s">
        <v>383</v>
      </c>
      <c r="E116" s="11" t="s">
        <v>29</v>
      </c>
      <c r="F116" s="11" t="s">
        <v>710</v>
      </c>
      <c r="G116" s="11" t="s">
        <v>711</v>
      </c>
      <c r="H116" s="10" t="s">
        <v>38</v>
      </c>
      <c r="I116" s="10" t="s">
        <v>81</v>
      </c>
      <c r="J116" s="12" t="s">
        <v>29</v>
      </c>
      <c r="K116" s="13" t="s">
        <v>24</v>
      </c>
      <c r="L116" s="14" t="s">
        <v>25</v>
      </c>
      <c r="M116" s="13" t="s">
        <v>26</v>
      </c>
      <c r="N116" s="15">
        <v>46321</v>
      </c>
    </row>
    <row r="117" spans="1:14" ht="51" x14ac:dyDescent="0.25">
      <c r="A117" s="10" t="s">
        <v>712</v>
      </c>
      <c r="B117" s="11" t="s">
        <v>679</v>
      </c>
      <c r="C117" s="11" t="s">
        <v>713</v>
      </c>
      <c r="D117" s="10" t="s">
        <v>85</v>
      </c>
      <c r="E117" s="11" t="s">
        <v>714</v>
      </c>
      <c r="F117" s="11" t="s">
        <v>715</v>
      </c>
      <c r="G117" s="11" t="s">
        <v>716</v>
      </c>
      <c r="H117" s="10" t="s">
        <v>38</v>
      </c>
      <c r="I117" s="10" t="s">
        <v>22</v>
      </c>
      <c r="J117" s="12" t="s">
        <v>717</v>
      </c>
      <c r="K117" s="13" t="s">
        <v>24</v>
      </c>
      <c r="L117" s="14" t="s">
        <v>718</v>
      </c>
      <c r="M117" s="13" t="s">
        <v>26</v>
      </c>
      <c r="N117" s="15">
        <v>46321</v>
      </c>
    </row>
    <row r="118" spans="1:14" ht="25.5" x14ac:dyDescent="0.25">
      <c r="A118" s="10" t="s">
        <v>719</v>
      </c>
      <c r="B118" s="11" t="s">
        <v>679</v>
      </c>
      <c r="C118" s="11" t="s">
        <v>720</v>
      </c>
      <c r="D118" s="10" t="s">
        <v>119</v>
      </c>
      <c r="E118" s="11" t="s">
        <v>29</v>
      </c>
      <c r="F118" s="11" t="s">
        <v>721</v>
      </c>
      <c r="G118" s="11" t="s">
        <v>722</v>
      </c>
      <c r="H118" s="10" t="s">
        <v>21</v>
      </c>
      <c r="I118" s="10" t="s">
        <v>22</v>
      </c>
      <c r="J118" s="12" t="s">
        <v>723</v>
      </c>
      <c r="K118" s="13" t="s">
        <v>24</v>
      </c>
      <c r="L118" s="14" t="s">
        <v>25</v>
      </c>
      <c r="M118" s="13" t="s">
        <v>26</v>
      </c>
      <c r="N118" s="15">
        <v>46321</v>
      </c>
    </row>
    <row r="119" spans="1:14" ht="38.25" x14ac:dyDescent="0.25">
      <c r="A119" s="10" t="s">
        <v>724</v>
      </c>
      <c r="B119" s="11" t="s">
        <v>679</v>
      </c>
      <c r="C119" s="11" t="s">
        <v>725</v>
      </c>
      <c r="D119" s="10" t="s">
        <v>85</v>
      </c>
      <c r="E119" s="11" t="s">
        <v>726</v>
      </c>
      <c r="F119" s="11" t="s">
        <v>727</v>
      </c>
      <c r="G119" s="11" t="s">
        <v>728</v>
      </c>
      <c r="H119" s="10" t="s">
        <v>21</v>
      </c>
      <c r="I119" s="10" t="s">
        <v>22</v>
      </c>
      <c r="J119" s="12" t="s">
        <v>729</v>
      </c>
      <c r="K119" s="13" t="s">
        <v>24</v>
      </c>
      <c r="L119" s="14" t="s">
        <v>730</v>
      </c>
      <c r="M119" s="13" t="s">
        <v>26</v>
      </c>
      <c r="N119" s="15">
        <v>46321</v>
      </c>
    </row>
    <row r="120" spans="1:14" ht="25.5" x14ac:dyDescent="0.25">
      <c r="A120" s="10" t="s">
        <v>731</v>
      </c>
      <c r="B120" s="11" t="s">
        <v>732</v>
      </c>
      <c r="C120" s="11" t="s">
        <v>733</v>
      </c>
      <c r="D120" s="10" t="s">
        <v>17</v>
      </c>
      <c r="E120" s="11" t="s">
        <v>29</v>
      </c>
      <c r="F120" s="11" t="s">
        <v>734</v>
      </c>
      <c r="G120" s="11" t="s">
        <v>735</v>
      </c>
      <c r="H120" s="10" t="s">
        <v>38</v>
      </c>
      <c r="I120" s="10" t="s">
        <v>81</v>
      </c>
      <c r="J120" s="12" t="s">
        <v>29</v>
      </c>
      <c r="K120" s="13" t="s">
        <v>24</v>
      </c>
      <c r="L120" s="14" t="s">
        <v>25</v>
      </c>
      <c r="M120" s="13" t="s">
        <v>26</v>
      </c>
      <c r="N120" s="15">
        <v>46321</v>
      </c>
    </row>
    <row r="121" spans="1:14" ht="25.5" x14ac:dyDescent="0.25">
      <c r="A121" s="10" t="s">
        <v>736</v>
      </c>
      <c r="B121" s="11" t="s">
        <v>732</v>
      </c>
      <c r="C121" s="11" t="s">
        <v>737</v>
      </c>
      <c r="D121" s="10" t="s">
        <v>17</v>
      </c>
      <c r="E121" s="11" t="s">
        <v>738</v>
      </c>
      <c r="F121" s="11" t="s">
        <v>739</v>
      </c>
      <c r="G121" s="11" t="s">
        <v>740</v>
      </c>
      <c r="H121" s="10" t="s">
        <v>38</v>
      </c>
      <c r="I121" s="10" t="s">
        <v>81</v>
      </c>
      <c r="J121" s="12" t="s">
        <v>29</v>
      </c>
      <c r="K121" s="13" t="s">
        <v>24</v>
      </c>
      <c r="L121" s="14" t="s">
        <v>741</v>
      </c>
      <c r="M121" s="13" t="s">
        <v>26</v>
      </c>
      <c r="N121" s="15">
        <v>46321</v>
      </c>
    </row>
    <row r="122" spans="1:14" ht="38.25" x14ac:dyDescent="0.25">
      <c r="A122" s="10" t="s">
        <v>742</v>
      </c>
      <c r="B122" s="11" t="s">
        <v>743</v>
      </c>
      <c r="C122" s="11" t="s">
        <v>744</v>
      </c>
      <c r="D122" s="10" t="s">
        <v>85</v>
      </c>
      <c r="E122" s="11" t="s">
        <v>745</v>
      </c>
      <c r="F122" s="11" t="s">
        <v>746</v>
      </c>
      <c r="G122" s="11" t="s">
        <v>747</v>
      </c>
      <c r="H122" s="10" t="s">
        <v>21</v>
      </c>
      <c r="I122" s="10" t="s">
        <v>22</v>
      </c>
      <c r="J122" s="12" t="s">
        <v>748</v>
      </c>
      <c r="K122" s="13" t="s">
        <v>24</v>
      </c>
      <c r="L122" s="14" t="s">
        <v>749</v>
      </c>
      <c r="M122" s="13" t="s">
        <v>26</v>
      </c>
      <c r="N122" s="15">
        <v>46321</v>
      </c>
    </row>
    <row r="123" spans="1:14" ht="25.5" x14ac:dyDescent="0.25">
      <c r="A123" s="10" t="s">
        <v>750</v>
      </c>
      <c r="B123" s="11" t="s">
        <v>743</v>
      </c>
      <c r="C123" s="11" t="s">
        <v>751</v>
      </c>
      <c r="D123" s="10" t="s">
        <v>85</v>
      </c>
      <c r="E123" s="11" t="s">
        <v>752</v>
      </c>
      <c r="F123" s="11" t="s">
        <v>753</v>
      </c>
      <c r="G123" s="11" t="s">
        <v>754</v>
      </c>
      <c r="H123" s="10" t="s">
        <v>21</v>
      </c>
      <c r="I123" s="10" t="s">
        <v>81</v>
      </c>
      <c r="J123" s="12" t="s">
        <v>29</v>
      </c>
      <c r="K123" s="13" t="s">
        <v>247</v>
      </c>
      <c r="L123" s="14" t="s">
        <v>755</v>
      </c>
      <c r="M123" s="13" t="s">
        <v>26</v>
      </c>
      <c r="N123" s="15">
        <v>46321</v>
      </c>
    </row>
    <row r="124" spans="1:14" ht="25.5" x14ac:dyDescent="0.25">
      <c r="A124" s="10" t="s">
        <v>756</v>
      </c>
      <c r="B124" s="11" t="s">
        <v>743</v>
      </c>
      <c r="C124" s="11" t="s">
        <v>757</v>
      </c>
      <c r="D124" s="10" t="s">
        <v>85</v>
      </c>
      <c r="E124" s="11" t="s">
        <v>758</v>
      </c>
      <c r="F124" s="11" t="s">
        <v>759</v>
      </c>
      <c r="G124" s="11" t="s">
        <v>760</v>
      </c>
      <c r="H124" s="10" t="s">
        <v>38</v>
      </c>
      <c r="I124" s="10" t="s">
        <v>81</v>
      </c>
      <c r="J124" s="12" t="s">
        <v>29</v>
      </c>
      <c r="K124" s="13" t="s">
        <v>24</v>
      </c>
      <c r="L124" s="14" t="s">
        <v>761</v>
      </c>
      <c r="M124" s="13" t="s">
        <v>26</v>
      </c>
      <c r="N124" s="15">
        <v>46321</v>
      </c>
    </row>
    <row r="125" spans="1:14" ht="51" x14ac:dyDescent="0.25">
      <c r="A125" s="10" t="s">
        <v>762</v>
      </c>
      <c r="B125" s="11" t="s">
        <v>743</v>
      </c>
      <c r="C125" s="11" t="s">
        <v>763</v>
      </c>
      <c r="D125" s="10" t="s">
        <v>383</v>
      </c>
      <c r="E125" s="11" t="s">
        <v>764</v>
      </c>
      <c r="F125" s="11" t="s">
        <v>765</v>
      </c>
      <c r="G125" s="11" t="s">
        <v>766</v>
      </c>
      <c r="H125" s="10" t="s">
        <v>21</v>
      </c>
      <c r="I125" s="10" t="s">
        <v>22</v>
      </c>
      <c r="J125" s="12" t="s">
        <v>767</v>
      </c>
      <c r="K125" s="13" t="s">
        <v>24</v>
      </c>
      <c r="L125" s="14" t="s">
        <v>768</v>
      </c>
      <c r="M125" s="13" t="s">
        <v>26</v>
      </c>
      <c r="N125" s="15">
        <v>46321</v>
      </c>
    </row>
    <row r="126" spans="1:14" ht="51" x14ac:dyDescent="0.25">
      <c r="A126" s="10" t="s">
        <v>769</v>
      </c>
      <c r="B126" s="11" t="s">
        <v>743</v>
      </c>
      <c r="C126" s="11" t="s">
        <v>770</v>
      </c>
      <c r="D126" s="10" t="s">
        <v>85</v>
      </c>
      <c r="E126" s="11" t="s">
        <v>771</v>
      </c>
      <c r="F126" s="11" t="s">
        <v>772</v>
      </c>
      <c r="G126" s="11" t="s">
        <v>773</v>
      </c>
      <c r="H126" s="10" t="s">
        <v>21</v>
      </c>
      <c r="I126" s="10" t="s">
        <v>22</v>
      </c>
      <c r="J126" s="12" t="s">
        <v>767</v>
      </c>
      <c r="K126" s="13" t="s">
        <v>24</v>
      </c>
      <c r="L126" s="14" t="s">
        <v>768</v>
      </c>
      <c r="M126" s="13" t="s">
        <v>26</v>
      </c>
      <c r="N126" s="15">
        <v>46321</v>
      </c>
    </row>
    <row r="127" spans="1:14" ht="51" x14ac:dyDescent="0.25">
      <c r="A127" s="10" t="s">
        <v>774</v>
      </c>
      <c r="B127" s="11" t="s">
        <v>743</v>
      </c>
      <c r="C127" s="11" t="s">
        <v>775</v>
      </c>
      <c r="D127" s="10" t="s">
        <v>196</v>
      </c>
      <c r="E127" s="11" t="s">
        <v>776</v>
      </c>
      <c r="F127" s="11" t="s">
        <v>777</v>
      </c>
      <c r="G127" s="11" t="s">
        <v>778</v>
      </c>
      <c r="H127" s="10" t="s">
        <v>21</v>
      </c>
      <c r="I127" s="10" t="s">
        <v>22</v>
      </c>
      <c r="J127" s="12" t="s">
        <v>767</v>
      </c>
      <c r="K127" s="13" t="s">
        <v>24</v>
      </c>
      <c r="L127" s="14" t="s">
        <v>768</v>
      </c>
      <c r="M127" s="13" t="s">
        <v>26</v>
      </c>
      <c r="N127" s="15">
        <v>46321</v>
      </c>
    </row>
    <row r="128" spans="1:14" ht="51" x14ac:dyDescent="0.25">
      <c r="A128" s="10" t="s">
        <v>779</v>
      </c>
      <c r="B128" s="11" t="s">
        <v>743</v>
      </c>
      <c r="C128" s="11" t="s">
        <v>780</v>
      </c>
      <c r="D128" s="10" t="s">
        <v>85</v>
      </c>
      <c r="E128" s="11" t="s">
        <v>781</v>
      </c>
      <c r="F128" s="11" t="s">
        <v>782</v>
      </c>
      <c r="G128" s="11" t="s">
        <v>783</v>
      </c>
      <c r="H128" s="10" t="s">
        <v>38</v>
      </c>
      <c r="I128" s="10" t="s">
        <v>22</v>
      </c>
      <c r="J128" s="12" t="s">
        <v>767</v>
      </c>
      <c r="K128" s="13" t="s">
        <v>24</v>
      </c>
      <c r="L128" s="14" t="s">
        <v>768</v>
      </c>
      <c r="M128" s="13" t="s">
        <v>26</v>
      </c>
      <c r="N128" s="15">
        <v>46321</v>
      </c>
    </row>
    <row r="129" spans="1:14" ht="51" x14ac:dyDescent="0.25">
      <c r="A129" s="10" t="s">
        <v>784</v>
      </c>
      <c r="B129" s="11" t="s">
        <v>743</v>
      </c>
      <c r="C129" s="11" t="s">
        <v>785</v>
      </c>
      <c r="D129" s="10" t="s">
        <v>119</v>
      </c>
      <c r="E129" s="11" t="s">
        <v>786</v>
      </c>
      <c r="F129" s="11" t="s">
        <v>787</v>
      </c>
      <c r="G129" s="11" t="s">
        <v>788</v>
      </c>
      <c r="H129" s="10" t="s">
        <v>38</v>
      </c>
      <c r="I129" s="10" t="s">
        <v>22</v>
      </c>
      <c r="J129" s="12" t="s">
        <v>767</v>
      </c>
      <c r="K129" s="13" t="s">
        <v>24</v>
      </c>
      <c r="L129" s="14" t="s">
        <v>768</v>
      </c>
      <c r="M129" s="13" t="s">
        <v>26</v>
      </c>
      <c r="N129" s="15">
        <v>46321</v>
      </c>
    </row>
    <row r="130" spans="1:14" ht="25.5" x14ac:dyDescent="0.25">
      <c r="A130" s="10" t="s">
        <v>789</v>
      </c>
      <c r="B130" s="11" t="s">
        <v>743</v>
      </c>
      <c r="C130" s="11" t="s">
        <v>790</v>
      </c>
      <c r="D130" s="10" t="s">
        <v>85</v>
      </c>
      <c r="E130" s="11" t="s">
        <v>786</v>
      </c>
      <c r="F130" s="11" t="s">
        <v>791</v>
      </c>
      <c r="G130" s="11" t="s">
        <v>792</v>
      </c>
      <c r="H130" s="10" t="s">
        <v>38</v>
      </c>
      <c r="I130" s="10" t="s">
        <v>81</v>
      </c>
      <c r="J130" s="12" t="s">
        <v>29</v>
      </c>
      <c r="K130" s="13" t="s">
        <v>24</v>
      </c>
      <c r="L130" s="14" t="s">
        <v>793</v>
      </c>
      <c r="M130" s="13" t="s">
        <v>26</v>
      </c>
      <c r="N130" s="15">
        <v>46321</v>
      </c>
    </row>
    <row r="131" spans="1:14" ht="25.5" x14ac:dyDescent="0.25">
      <c r="A131" s="10" t="s">
        <v>794</v>
      </c>
      <c r="B131" s="11" t="s">
        <v>795</v>
      </c>
      <c r="C131" s="11" t="s">
        <v>796</v>
      </c>
      <c r="D131" s="10" t="s">
        <v>17</v>
      </c>
      <c r="E131" s="11" t="s">
        <v>513</v>
      </c>
      <c r="F131" s="11" t="s">
        <v>797</v>
      </c>
      <c r="G131" s="11" t="s">
        <v>798</v>
      </c>
      <c r="H131" s="10" t="s">
        <v>21</v>
      </c>
      <c r="I131" s="10" t="s">
        <v>81</v>
      </c>
      <c r="J131" s="12" t="s">
        <v>29</v>
      </c>
      <c r="K131" s="13" t="s">
        <v>24</v>
      </c>
      <c r="L131" s="14" t="s">
        <v>799</v>
      </c>
      <c r="M131" s="13" t="s">
        <v>26</v>
      </c>
      <c r="N131" s="15">
        <v>46321</v>
      </c>
    </row>
    <row r="132" spans="1:14" ht="25.5" x14ac:dyDescent="0.25">
      <c r="A132" s="10" t="s">
        <v>800</v>
      </c>
      <c r="B132" s="11" t="s">
        <v>795</v>
      </c>
      <c r="C132" s="11" t="s">
        <v>801</v>
      </c>
      <c r="D132" s="10" t="s">
        <v>17</v>
      </c>
      <c r="E132" s="11" t="s">
        <v>29</v>
      </c>
      <c r="F132" s="11" t="s">
        <v>802</v>
      </c>
      <c r="G132" s="11" t="s">
        <v>803</v>
      </c>
      <c r="H132" s="10" t="s">
        <v>38</v>
      </c>
      <c r="I132" s="10" t="s">
        <v>81</v>
      </c>
      <c r="J132" s="12" t="s">
        <v>29</v>
      </c>
      <c r="K132" s="13" t="s">
        <v>24</v>
      </c>
      <c r="L132" s="14" t="s">
        <v>804</v>
      </c>
      <c r="M132" s="13" t="s">
        <v>26</v>
      </c>
      <c r="N132" s="15">
        <v>46321</v>
      </c>
    </row>
    <row r="133" spans="1:14" ht="25.5" x14ac:dyDescent="0.25">
      <c r="A133" s="10" t="s">
        <v>805</v>
      </c>
      <c r="B133" s="11" t="s">
        <v>795</v>
      </c>
      <c r="C133" s="11" t="s">
        <v>806</v>
      </c>
      <c r="D133" s="10" t="s">
        <v>17</v>
      </c>
      <c r="E133" s="11" t="s">
        <v>807</v>
      </c>
      <c r="F133" s="11" t="s">
        <v>808</v>
      </c>
      <c r="G133" s="11" t="s">
        <v>809</v>
      </c>
      <c r="H133" s="10" t="s">
        <v>38</v>
      </c>
      <c r="I133" s="10" t="s">
        <v>81</v>
      </c>
      <c r="J133" s="12" t="s">
        <v>29</v>
      </c>
      <c r="K133" s="13" t="s">
        <v>247</v>
      </c>
      <c r="L133" s="14" t="s">
        <v>810</v>
      </c>
      <c r="M133" s="13" t="s">
        <v>26</v>
      </c>
      <c r="N133" s="15">
        <v>46321</v>
      </c>
    </row>
    <row r="134" spans="1:14" ht="25.5" x14ac:dyDescent="0.25">
      <c r="A134" s="10" t="s">
        <v>811</v>
      </c>
      <c r="B134" s="11" t="s">
        <v>795</v>
      </c>
      <c r="C134" s="11" t="s">
        <v>812</v>
      </c>
      <c r="D134" s="10" t="s">
        <v>85</v>
      </c>
      <c r="E134" s="11" t="s">
        <v>29</v>
      </c>
      <c r="F134" s="11" t="s">
        <v>813</v>
      </c>
      <c r="G134" s="11" t="s">
        <v>814</v>
      </c>
      <c r="H134" s="10" t="s">
        <v>80</v>
      </c>
      <c r="I134" s="10" t="s">
        <v>81</v>
      </c>
      <c r="J134" s="12" t="s">
        <v>29</v>
      </c>
      <c r="K134" s="13" t="s">
        <v>24</v>
      </c>
      <c r="L134" s="14" t="s">
        <v>25</v>
      </c>
      <c r="M134" s="13" t="s">
        <v>26</v>
      </c>
      <c r="N134" s="15">
        <v>46321</v>
      </c>
    </row>
    <row r="135" spans="1:14" ht="38.25" x14ac:dyDescent="0.25">
      <c r="A135" s="10" t="s">
        <v>815</v>
      </c>
      <c r="B135" s="11" t="s">
        <v>816</v>
      </c>
      <c r="C135" s="11" t="s">
        <v>817</v>
      </c>
      <c r="D135" s="10" t="s">
        <v>17</v>
      </c>
      <c r="E135" s="11" t="s">
        <v>818</v>
      </c>
      <c r="F135" s="11" t="s">
        <v>819</v>
      </c>
      <c r="G135" s="11" t="s">
        <v>820</v>
      </c>
      <c r="H135" s="10" t="s">
        <v>38</v>
      </c>
      <c r="I135" s="10" t="s">
        <v>81</v>
      </c>
      <c r="J135" s="12" t="s">
        <v>29</v>
      </c>
      <c r="K135" s="13" t="s">
        <v>24</v>
      </c>
      <c r="L135" s="14" t="s">
        <v>821</v>
      </c>
      <c r="M135" s="13" t="s">
        <v>26</v>
      </c>
      <c r="N135" s="15">
        <v>46321</v>
      </c>
    </row>
    <row r="136" spans="1:14" ht="25.5" x14ac:dyDescent="0.25">
      <c r="A136" s="10" t="s">
        <v>822</v>
      </c>
      <c r="B136" s="11" t="s">
        <v>816</v>
      </c>
      <c r="C136" s="11" t="s">
        <v>823</v>
      </c>
      <c r="D136" s="10" t="s">
        <v>17</v>
      </c>
      <c r="E136" s="11" t="s">
        <v>758</v>
      </c>
      <c r="F136" s="11" t="s">
        <v>824</v>
      </c>
      <c r="G136" s="11" t="s">
        <v>825</v>
      </c>
      <c r="H136" s="10" t="s">
        <v>38</v>
      </c>
      <c r="I136" s="10" t="s">
        <v>81</v>
      </c>
      <c r="J136" s="12" t="s">
        <v>29</v>
      </c>
      <c r="K136" s="13" t="s">
        <v>24</v>
      </c>
      <c r="L136" s="14" t="s">
        <v>826</v>
      </c>
      <c r="M136" s="13" t="s">
        <v>26</v>
      </c>
      <c r="N136" s="15">
        <v>46321</v>
      </c>
    </row>
    <row r="137" spans="1:14" ht="38.25" x14ac:dyDescent="0.25">
      <c r="A137" s="10" t="s">
        <v>827</v>
      </c>
      <c r="B137" s="11" t="s">
        <v>816</v>
      </c>
      <c r="C137" s="11" t="s">
        <v>828</v>
      </c>
      <c r="D137" s="10" t="s">
        <v>17</v>
      </c>
      <c r="E137" s="11" t="s">
        <v>829</v>
      </c>
      <c r="F137" s="11" t="s">
        <v>830</v>
      </c>
      <c r="G137" s="11" t="s">
        <v>831</v>
      </c>
      <c r="H137" s="10" t="s">
        <v>80</v>
      </c>
      <c r="I137" s="10" t="s">
        <v>81</v>
      </c>
      <c r="J137" s="12" t="s">
        <v>29</v>
      </c>
      <c r="K137" s="13" t="s">
        <v>247</v>
      </c>
      <c r="L137" s="14" t="s">
        <v>832</v>
      </c>
      <c r="M137" s="13" t="s">
        <v>26</v>
      </c>
      <c r="N137" s="15">
        <v>46321</v>
      </c>
    </row>
    <row r="138" spans="1:14" ht="38.25" x14ac:dyDescent="0.25">
      <c r="A138" s="10" t="s">
        <v>833</v>
      </c>
      <c r="B138" s="11" t="s">
        <v>816</v>
      </c>
      <c r="C138" s="11" t="s">
        <v>834</v>
      </c>
      <c r="D138" s="10" t="s">
        <v>17</v>
      </c>
      <c r="E138" s="11" t="s">
        <v>835</v>
      </c>
      <c r="F138" s="11" t="s">
        <v>836</v>
      </c>
      <c r="G138" s="11" t="s">
        <v>837</v>
      </c>
      <c r="H138" s="10" t="s">
        <v>38</v>
      </c>
      <c r="I138" s="10" t="s">
        <v>81</v>
      </c>
      <c r="J138" s="12" t="s">
        <v>29</v>
      </c>
      <c r="K138" s="13" t="s">
        <v>24</v>
      </c>
      <c r="L138" s="14" t="s">
        <v>838</v>
      </c>
      <c r="M138" s="13" t="s">
        <v>26</v>
      </c>
      <c r="N138" s="15">
        <v>46321</v>
      </c>
    </row>
    <row r="139" spans="1:14" ht="25.5" x14ac:dyDescent="0.25">
      <c r="A139" s="10" t="s">
        <v>839</v>
      </c>
      <c r="B139" s="11" t="s">
        <v>816</v>
      </c>
      <c r="C139" s="11" t="s">
        <v>840</v>
      </c>
      <c r="D139" s="10" t="s">
        <v>17</v>
      </c>
      <c r="E139" s="11" t="s">
        <v>841</v>
      </c>
      <c r="F139" s="11" t="s">
        <v>842</v>
      </c>
      <c r="G139" s="11" t="s">
        <v>843</v>
      </c>
      <c r="H139" s="10" t="s">
        <v>38</v>
      </c>
      <c r="I139" s="10" t="s">
        <v>81</v>
      </c>
      <c r="J139" s="12" t="s">
        <v>29</v>
      </c>
      <c r="K139" s="13" t="s">
        <v>24</v>
      </c>
      <c r="L139" s="14" t="s">
        <v>25</v>
      </c>
      <c r="M139" s="13" t="s">
        <v>26</v>
      </c>
      <c r="N139" s="15">
        <v>46321</v>
      </c>
    </row>
    <row r="140" spans="1:14" ht="25.5" x14ac:dyDescent="0.25">
      <c r="A140" s="10" t="s">
        <v>844</v>
      </c>
      <c r="B140" s="11" t="s">
        <v>816</v>
      </c>
      <c r="C140" s="11" t="s">
        <v>845</v>
      </c>
      <c r="D140" s="10" t="s">
        <v>17</v>
      </c>
      <c r="E140" s="11" t="s">
        <v>846</v>
      </c>
      <c r="F140" s="11" t="s">
        <v>847</v>
      </c>
      <c r="G140" s="11" t="s">
        <v>848</v>
      </c>
      <c r="H140" s="10" t="s">
        <v>38</v>
      </c>
      <c r="I140" s="10" t="s">
        <v>81</v>
      </c>
      <c r="J140" s="12" t="s">
        <v>29</v>
      </c>
      <c r="K140" s="13" t="s">
        <v>24</v>
      </c>
      <c r="L140" s="14" t="s">
        <v>849</v>
      </c>
      <c r="M140" s="13" t="s">
        <v>26</v>
      </c>
      <c r="N140" s="15">
        <v>46321</v>
      </c>
    </row>
    <row r="141" spans="1:14" ht="25.5" x14ac:dyDescent="0.25">
      <c r="A141" s="10" t="s">
        <v>850</v>
      </c>
      <c r="B141" s="11" t="s">
        <v>816</v>
      </c>
      <c r="C141" s="11" t="s">
        <v>851</v>
      </c>
      <c r="D141" s="10" t="s">
        <v>17</v>
      </c>
      <c r="E141" s="11" t="s">
        <v>29</v>
      </c>
      <c r="F141" s="11" t="s">
        <v>852</v>
      </c>
      <c r="G141" s="11" t="s">
        <v>853</v>
      </c>
      <c r="H141" s="10" t="s">
        <v>80</v>
      </c>
      <c r="I141" s="10" t="s">
        <v>81</v>
      </c>
      <c r="J141" s="12" t="s">
        <v>29</v>
      </c>
      <c r="K141" s="13" t="s">
        <v>24</v>
      </c>
      <c r="L141" s="14" t="s">
        <v>25</v>
      </c>
      <c r="M141" s="13" t="s">
        <v>26</v>
      </c>
      <c r="N141" s="15">
        <v>46321</v>
      </c>
    </row>
    <row r="142" spans="1:14" ht="25.5" x14ac:dyDescent="0.25">
      <c r="A142" s="10" t="s">
        <v>854</v>
      </c>
      <c r="B142" s="11" t="s">
        <v>855</v>
      </c>
      <c r="C142" s="11" t="s">
        <v>856</v>
      </c>
      <c r="D142" s="10" t="s">
        <v>17</v>
      </c>
      <c r="E142" s="11" t="s">
        <v>29</v>
      </c>
      <c r="F142" s="11" t="s">
        <v>857</v>
      </c>
      <c r="G142" s="11" t="s">
        <v>858</v>
      </c>
      <c r="H142" s="10" t="s">
        <v>21</v>
      </c>
      <c r="I142" s="10" t="s">
        <v>22</v>
      </c>
      <c r="J142" s="12" t="s">
        <v>859</v>
      </c>
      <c r="K142" s="13" t="s">
        <v>24</v>
      </c>
      <c r="L142" s="14" t="s">
        <v>25</v>
      </c>
      <c r="M142" s="13" t="s">
        <v>26</v>
      </c>
      <c r="N142" s="15">
        <v>46321</v>
      </c>
    </row>
    <row r="143" spans="1:14" ht="25.5" x14ac:dyDescent="0.25">
      <c r="A143" s="10" t="s">
        <v>860</v>
      </c>
      <c r="B143" s="11" t="s">
        <v>855</v>
      </c>
      <c r="C143" s="11" t="s">
        <v>861</v>
      </c>
      <c r="D143" s="10" t="s">
        <v>119</v>
      </c>
      <c r="E143" s="11" t="s">
        <v>29</v>
      </c>
      <c r="F143" s="11" t="s">
        <v>862</v>
      </c>
      <c r="G143" s="11" t="s">
        <v>863</v>
      </c>
      <c r="H143" s="10" t="s">
        <v>21</v>
      </c>
      <c r="I143" s="10" t="s">
        <v>22</v>
      </c>
      <c r="J143" s="12" t="s">
        <v>864</v>
      </c>
      <c r="K143" s="13" t="s">
        <v>24</v>
      </c>
      <c r="L143" s="14" t="s">
        <v>25</v>
      </c>
      <c r="M143" s="13" t="s">
        <v>26</v>
      </c>
      <c r="N143" s="15">
        <v>46321</v>
      </c>
    </row>
    <row r="144" spans="1:14" ht="25.5" x14ac:dyDescent="0.25">
      <c r="A144" s="10" t="s">
        <v>865</v>
      </c>
      <c r="B144" s="11" t="s">
        <v>855</v>
      </c>
      <c r="C144" s="11" t="s">
        <v>866</v>
      </c>
      <c r="D144" s="10" t="s">
        <v>17</v>
      </c>
      <c r="E144" s="11" t="s">
        <v>29</v>
      </c>
      <c r="F144" s="11" t="s">
        <v>867</v>
      </c>
      <c r="G144" s="11" t="s">
        <v>868</v>
      </c>
      <c r="H144" s="10" t="s">
        <v>21</v>
      </c>
      <c r="I144" s="10" t="s">
        <v>22</v>
      </c>
      <c r="J144" s="12" t="s">
        <v>869</v>
      </c>
      <c r="K144" s="13" t="s">
        <v>24</v>
      </c>
      <c r="L144" s="14" t="s">
        <v>870</v>
      </c>
      <c r="M144" s="13" t="s">
        <v>26</v>
      </c>
      <c r="N144" s="15">
        <v>46321</v>
      </c>
    </row>
    <row r="145" spans="1:14" ht="38.25" x14ac:dyDescent="0.25">
      <c r="A145" s="10" t="s">
        <v>871</v>
      </c>
      <c r="B145" s="11" t="s">
        <v>855</v>
      </c>
      <c r="C145" s="11" t="s">
        <v>872</v>
      </c>
      <c r="D145" s="10" t="s">
        <v>17</v>
      </c>
      <c r="E145" s="11" t="s">
        <v>29</v>
      </c>
      <c r="F145" s="11" t="s">
        <v>873</v>
      </c>
      <c r="G145" s="11" t="s">
        <v>874</v>
      </c>
      <c r="H145" s="10" t="s">
        <v>38</v>
      </c>
      <c r="I145" s="10" t="s">
        <v>22</v>
      </c>
      <c r="J145" s="12" t="s">
        <v>875</v>
      </c>
      <c r="K145" s="13" t="s">
        <v>876</v>
      </c>
      <c r="L145" s="14" t="s">
        <v>877</v>
      </c>
      <c r="M145" s="13" t="s">
        <v>26</v>
      </c>
      <c r="N145" s="15">
        <v>46321</v>
      </c>
    </row>
    <row r="146" spans="1:14" ht="25.5" x14ac:dyDescent="0.25">
      <c r="A146" s="10" t="s">
        <v>878</v>
      </c>
      <c r="B146" s="11" t="s">
        <v>855</v>
      </c>
      <c r="C146" s="11" t="s">
        <v>879</v>
      </c>
      <c r="D146" s="10" t="s">
        <v>17</v>
      </c>
      <c r="E146" s="11" t="s">
        <v>880</v>
      </c>
      <c r="F146" s="11" t="s">
        <v>881</v>
      </c>
      <c r="G146" s="11" t="s">
        <v>882</v>
      </c>
      <c r="H146" s="10" t="s">
        <v>38</v>
      </c>
      <c r="I146" s="10" t="s">
        <v>22</v>
      </c>
      <c r="J146" s="12" t="s">
        <v>883</v>
      </c>
      <c r="K146" s="13" t="s">
        <v>24</v>
      </c>
      <c r="L146" s="14" t="s">
        <v>25</v>
      </c>
      <c r="M146" s="13" t="s">
        <v>26</v>
      </c>
      <c r="N146" s="15">
        <v>46321</v>
      </c>
    </row>
    <row r="147" spans="1:14" ht="25.5" x14ac:dyDescent="0.25">
      <c r="A147" s="10" t="s">
        <v>884</v>
      </c>
      <c r="B147" s="11" t="s">
        <v>885</v>
      </c>
      <c r="C147" s="11" t="s">
        <v>886</v>
      </c>
      <c r="D147" s="10" t="s">
        <v>119</v>
      </c>
      <c r="E147" s="11" t="s">
        <v>887</v>
      </c>
      <c r="F147" s="11" t="s">
        <v>888</v>
      </c>
      <c r="G147" s="11" t="s">
        <v>889</v>
      </c>
      <c r="H147" s="10" t="s">
        <v>21</v>
      </c>
      <c r="I147" s="10" t="s">
        <v>22</v>
      </c>
      <c r="J147" s="12" t="s">
        <v>890</v>
      </c>
      <c r="K147" s="13" t="s">
        <v>24</v>
      </c>
      <c r="L147" s="14" t="s">
        <v>891</v>
      </c>
      <c r="M147" s="13" t="s">
        <v>26</v>
      </c>
      <c r="N147" s="15">
        <v>46321</v>
      </c>
    </row>
    <row r="148" spans="1:14" ht="51" x14ac:dyDescent="0.25">
      <c r="A148" s="10" t="s">
        <v>892</v>
      </c>
      <c r="B148" s="11" t="s">
        <v>885</v>
      </c>
      <c r="C148" s="11" t="s">
        <v>893</v>
      </c>
      <c r="D148" s="10" t="s">
        <v>17</v>
      </c>
      <c r="E148" s="11" t="s">
        <v>894</v>
      </c>
      <c r="F148" s="11" t="s">
        <v>895</v>
      </c>
      <c r="G148" s="11" t="s">
        <v>896</v>
      </c>
      <c r="H148" s="10" t="s">
        <v>21</v>
      </c>
      <c r="I148" s="10" t="s">
        <v>22</v>
      </c>
      <c r="J148" s="12" t="s">
        <v>897</v>
      </c>
      <c r="K148" s="13" t="s">
        <v>24</v>
      </c>
      <c r="L148" s="14" t="s">
        <v>898</v>
      </c>
      <c r="M148" s="13" t="s">
        <v>26</v>
      </c>
      <c r="N148" s="15">
        <v>46321</v>
      </c>
    </row>
    <row r="149" spans="1:14" ht="25.5" x14ac:dyDescent="0.25">
      <c r="A149" s="10" t="s">
        <v>899</v>
      </c>
      <c r="B149" s="11" t="s">
        <v>885</v>
      </c>
      <c r="C149" s="11" t="s">
        <v>900</v>
      </c>
      <c r="D149" s="10" t="s">
        <v>119</v>
      </c>
      <c r="E149" s="11" t="s">
        <v>29</v>
      </c>
      <c r="F149" s="11" t="s">
        <v>901</v>
      </c>
      <c r="G149" s="11" t="s">
        <v>902</v>
      </c>
      <c r="H149" s="10" t="s">
        <v>21</v>
      </c>
      <c r="I149" s="10" t="s">
        <v>22</v>
      </c>
      <c r="J149" s="12" t="s">
        <v>903</v>
      </c>
      <c r="K149" s="13" t="s">
        <v>24</v>
      </c>
      <c r="L149" s="14" t="s">
        <v>904</v>
      </c>
      <c r="M149" s="13" t="s">
        <v>26</v>
      </c>
      <c r="N149" s="15">
        <v>46321</v>
      </c>
    </row>
    <row r="150" spans="1:14" ht="38.25" x14ac:dyDescent="0.25">
      <c r="A150" s="10" t="s">
        <v>905</v>
      </c>
      <c r="B150" s="11" t="s">
        <v>885</v>
      </c>
      <c r="C150" s="11" t="s">
        <v>906</v>
      </c>
      <c r="D150" s="10" t="s">
        <v>383</v>
      </c>
      <c r="E150" s="11" t="s">
        <v>907</v>
      </c>
      <c r="F150" s="11" t="s">
        <v>908</v>
      </c>
      <c r="G150" s="11" t="s">
        <v>909</v>
      </c>
      <c r="H150" s="10" t="s">
        <v>21</v>
      </c>
      <c r="I150" s="10" t="s">
        <v>22</v>
      </c>
      <c r="J150" s="12" t="s">
        <v>621</v>
      </c>
      <c r="K150" s="13" t="s">
        <v>24</v>
      </c>
      <c r="L150" s="14" t="s">
        <v>910</v>
      </c>
      <c r="M150" s="13" t="s">
        <v>26</v>
      </c>
      <c r="N150" s="15">
        <v>46321</v>
      </c>
    </row>
  </sheetData>
  <autoFilter ref="A1:N150" xr:uid="{00000000-0009-0000-0000-000001000000}"/>
  <conditionalFormatting sqref="H2:H150">
    <cfRule type="expression" dxfId="3" priority="4">
      <formula>$H2="عالية"</formula>
    </cfRule>
  </conditionalFormatting>
  <conditionalFormatting sqref="K2:K150">
    <cfRule type="expression" dxfId="2" priority="1">
      <formula>$K2="نجح"</formula>
    </cfRule>
    <cfRule type="expression" dxfId="1" priority="2">
      <formula>$K2="فشل"</formula>
    </cfRule>
    <cfRule type="expression" dxfId="0" priority="3">
      <formula>$K2="محجوب"</formula>
    </cfRule>
  </conditionalFormatting>
  <dataValidations count="1">
    <dataValidation type="list" allowBlank="1" showErrorMessage="1" errorTitle="قيمة غير صحيحة" error="اختر من القائمة: لم يُختبر، نجح، فشل، محجوب" sqref="K2:K150" xr:uid="{00000000-0002-0000-0100-000000000000}">
      <formula1>"لم يُختبر,نجح,فشل,محجوب"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4"/>
  <sheetViews>
    <sheetView rightToLeft="1" workbookViewId="0"/>
  </sheetViews>
  <sheetFormatPr defaultRowHeight="15" x14ac:dyDescent="0.25"/>
  <cols>
    <col min="1" max="1" width="30" customWidth="1"/>
    <col min="2" max="2" width="12" customWidth="1"/>
    <col min="3" max="5" width="10" customWidth="1"/>
    <col min="6" max="7" width="12" customWidth="1"/>
    <col min="8" max="9" width="13" customWidth="1"/>
  </cols>
  <sheetData>
    <row r="1" spans="1:9" ht="18" x14ac:dyDescent="0.25">
      <c r="A1" s="16" t="s">
        <v>972</v>
      </c>
    </row>
    <row r="2" spans="1:9" x14ac:dyDescent="0.25">
      <c r="A2" s="17" t="s">
        <v>973</v>
      </c>
    </row>
    <row r="4" spans="1:9" x14ac:dyDescent="0.25">
      <c r="A4" s="18" t="s">
        <v>1</v>
      </c>
      <c r="B4" s="18" t="s">
        <v>914</v>
      </c>
      <c r="C4" s="18" t="s">
        <v>24</v>
      </c>
      <c r="D4" s="18" t="s">
        <v>876</v>
      </c>
      <c r="E4" s="18" t="s">
        <v>247</v>
      </c>
      <c r="F4" s="18" t="s">
        <v>974</v>
      </c>
      <c r="G4" s="18" t="s">
        <v>8</v>
      </c>
      <c r="H4" s="18" t="s">
        <v>975</v>
      </c>
      <c r="I4" s="18" t="s">
        <v>976</v>
      </c>
    </row>
    <row r="5" spans="1:9" x14ac:dyDescent="0.25">
      <c r="A5" s="19" t="s">
        <v>15</v>
      </c>
      <c r="B5" s="20">
        <f>COUNTIF('حالات الاختبار'!$B$2:$B$150,A5)</f>
        <v>10</v>
      </c>
      <c r="C5" s="20">
        <f>COUNTIFS('حالات الاختبار'!$B$2:$B$150,$A5,'حالات الاختبار'!$K$2:$K$150,"نجح")</f>
        <v>10</v>
      </c>
      <c r="D5" s="20">
        <f>COUNTIFS('حالات الاختبار'!$B$2:$B$150,$A5,'حالات الاختبار'!$K$2:$K$150,"فشل")</f>
        <v>0</v>
      </c>
      <c r="E5" s="20">
        <f>COUNTIFS('حالات الاختبار'!$B$2:$B$150,$A5,'حالات الاختبار'!$K$2:$K$150,"محجوب")</f>
        <v>0</v>
      </c>
      <c r="F5" s="20">
        <f t="shared" ref="F5:F24" si="0">B5-C5-D5-E5</f>
        <v>0</v>
      </c>
      <c r="G5" s="20">
        <f>COUNTIFS('حالات الاختبار'!$B$2:$B$150,$A5,'حالات الاختبار'!$I$2:$I$150,"نعم")</f>
        <v>9</v>
      </c>
      <c r="H5" s="21">
        <f t="shared" ref="H5:H25" si="1">IF(B5=0,0,(C5+D5+E5)/B5)</f>
        <v>1</v>
      </c>
      <c r="I5" s="21">
        <f t="shared" ref="I5:I25" si="2">IF(C5+D5=0,0,C5/(C5+D5))</f>
        <v>1</v>
      </c>
    </row>
    <row r="6" spans="1:9" x14ac:dyDescent="0.25">
      <c r="A6" s="19" t="s">
        <v>83</v>
      </c>
      <c r="B6" s="20">
        <f>COUNTIF('حالات الاختبار'!$B$2:$B$150,A6)</f>
        <v>10</v>
      </c>
      <c r="C6" s="20">
        <f>COUNTIFS('حالات الاختبار'!$B$2:$B$150,$A6,'حالات الاختبار'!$K$2:$K$150,"نجح")</f>
        <v>10</v>
      </c>
      <c r="D6" s="20">
        <f>COUNTIFS('حالات الاختبار'!$B$2:$B$150,$A6,'حالات الاختبار'!$K$2:$K$150,"فشل")</f>
        <v>0</v>
      </c>
      <c r="E6" s="20">
        <f>COUNTIFS('حالات الاختبار'!$B$2:$B$150,$A6,'حالات الاختبار'!$K$2:$K$150,"محجوب")</f>
        <v>0</v>
      </c>
      <c r="F6" s="20">
        <f t="shared" si="0"/>
        <v>0</v>
      </c>
      <c r="G6" s="20">
        <f>COUNTIFS('حالات الاختبار'!$B$2:$B$150,$A6,'حالات الاختبار'!$I$2:$I$150,"نعم")</f>
        <v>8</v>
      </c>
      <c r="H6" s="21">
        <f t="shared" si="1"/>
        <v>1</v>
      </c>
      <c r="I6" s="21">
        <f t="shared" si="2"/>
        <v>1</v>
      </c>
    </row>
    <row r="7" spans="1:9" x14ac:dyDescent="0.25">
      <c r="A7" s="19" t="s">
        <v>139</v>
      </c>
      <c r="B7" s="20">
        <f>COUNTIF('حالات الاختبار'!$B$2:$B$150,A7)</f>
        <v>9</v>
      </c>
      <c r="C7" s="20">
        <f>COUNTIFS('حالات الاختبار'!$B$2:$B$150,$A7,'حالات الاختبار'!$K$2:$K$150,"نجح")</f>
        <v>9</v>
      </c>
      <c r="D7" s="20">
        <f>COUNTIFS('حالات الاختبار'!$B$2:$B$150,$A7,'حالات الاختبار'!$K$2:$K$150,"فشل")</f>
        <v>0</v>
      </c>
      <c r="E7" s="20">
        <f>COUNTIFS('حالات الاختبار'!$B$2:$B$150,$A7,'حالات الاختبار'!$K$2:$K$150,"محجوب")</f>
        <v>0</v>
      </c>
      <c r="F7" s="20">
        <f t="shared" si="0"/>
        <v>0</v>
      </c>
      <c r="G7" s="20">
        <f>COUNTIFS('حالات الاختبار'!$B$2:$B$150,$A7,'حالات الاختبار'!$I$2:$I$150,"نعم")</f>
        <v>9</v>
      </c>
      <c r="H7" s="21">
        <f t="shared" si="1"/>
        <v>1</v>
      </c>
      <c r="I7" s="21">
        <f t="shared" si="2"/>
        <v>1</v>
      </c>
    </row>
    <row r="8" spans="1:9" x14ac:dyDescent="0.25">
      <c r="A8" s="19" t="s">
        <v>194</v>
      </c>
      <c r="B8" s="20">
        <f>COUNTIF('حالات الاختبار'!$B$2:$B$150,A8)</f>
        <v>4</v>
      </c>
      <c r="C8" s="20">
        <f>COUNTIFS('حالات الاختبار'!$B$2:$B$150,$A8,'حالات الاختبار'!$K$2:$K$150,"نجح")</f>
        <v>4</v>
      </c>
      <c r="D8" s="20">
        <f>COUNTIFS('حالات الاختبار'!$B$2:$B$150,$A8,'حالات الاختبار'!$K$2:$K$150,"فشل")</f>
        <v>0</v>
      </c>
      <c r="E8" s="20">
        <f>COUNTIFS('حالات الاختبار'!$B$2:$B$150,$A8,'حالات الاختبار'!$K$2:$K$150,"محجوب")</f>
        <v>0</v>
      </c>
      <c r="F8" s="20">
        <f t="shared" si="0"/>
        <v>0</v>
      </c>
      <c r="G8" s="20">
        <f>COUNTIFS('حالات الاختبار'!$B$2:$B$150,$A8,'حالات الاختبار'!$I$2:$I$150,"نعم")</f>
        <v>0</v>
      </c>
      <c r="H8" s="21">
        <f t="shared" si="1"/>
        <v>1</v>
      </c>
      <c r="I8" s="21">
        <f t="shared" si="2"/>
        <v>1</v>
      </c>
    </row>
    <row r="9" spans="1:9" x14ac:dyDescent="0.25">
      <c r="A9" s="19" t="s">
        <v>216</v>
      </c>
      <c r="B9" s="20">
        <f>COUNTIF('حالات الاختبار'!$B$2:$B$150,A9)</f>
        <v>14</v>
      </c>
      <c r="C9" s="20">
        <f>COUNTIFS('حالات الاختبار'!$B$2:$B$150,$A9,'حالات الاختبار'!$K$2:$K$150,"نجح")</f>
        <v>13</v>
      </c>
      <c r="D9" s="20">
        <f>COUNTIFS('حالات الاختبار'!$B$2:$B$150,$A9,'حالات الاختبار'!$K$2:$K$150,"فشل")</f>
        <v>0</v>
      </c>
      <c r="E9" s="20">
        <f>COUNTIFS('حالات الاختبار'!$B$2:$B$150,$A9,'حالات الاختبار'!$K$2:$K$150,"محجوب")</f>
        <v>1</v>
      </c>
      <c r="F9" s="20">
        <f t="shared" si="0"/>
        <v>0</v>
      </c>
      <c r="G9" s="20">
        <f>COUNTIFS('حالات الاختبار'!$B$2:$B$150,$A9,'حالات الاختبار'!$I$2:$I$150,"نعم")</f>
        <v>10</v>
      </c>
      <c r="H9" s="21">
        <f t="shared" si="1"/>
        <v>1</v>
      </c>
      <c r="I9" s="21">
        <f t="shared" si="2"/>
        <v>1</v>
      </c>
    </row>
    <row r="10" spans="1:9" x14ac:dyDescent="0.25">
      <c r="A10" s="19" t="s">
        <v>306</v>
      </c>
      <c r="B10" s="20">
        <f>COUNTIF('حالات الاختبار'!$B$2:$B$150,A10)</f>
        <v>6</v>
      </c>
      <c r="C10" s="20">
        <f>COUNTIFS('حالات الاختبار'!$B$2:$B$150,$A10,'حالات الاختبار'!$K$2:$K$150,"نجح")</f>
        <v>6</v>
      </c>
      <c r="D10" s="20">
        <f>COUNTIFS('حالات الاختبار'!$B$2:$B$150,$A10,'حالات الاختبار'!$K$2:$K$150,"فشل")</f>
        <v>0</v>
      </c>
      <c r="E10" s="20">
        <f>COUNTIFS('حالات الاختبار'!$B$2:$B$150,$A10,'حالات الاختبار'!$K$2:$K$150,"محجوب")</f>
        <v>0</v>
      </c>
      <c r="F10" s="20">
        <f t="shared" si="0"/>
        <v>0</v>
      </c>
      <c r="G10" s="20">
        <f>COUNTIFS('حالات الاختبار'!$B$2:$B$150,$A10,'حالات الاختبار'!$I$2:$I$150,"نعم")</f>
        <v>4</v>
      </c>
      <c r="H10" s="21">
        <f t="shared" si="1"/>
        <v>1</v>
      </c>
      <c r="I10" s="21">
        <f t="shared" si="2"/>
        <v>1</v>
      </c>
    </row>
    <row r="11" spans="1:9" x14ac:dyDescent="0.25">
      <c r="A11" s="19" t="s">
        <v>344</v>
      </c>
      <c r="B11" s="20">
        <f>COUNTIF('حالات الاختبار'!$B$2:$B$150,A11)</f>
        <v>7</v>
      </c>
      <c r="C11" s="20">
        <f>COUNTIFS('حالات الاختبار'!$B$2:$B$150,$A11,'حالات الاختبار'!$K$2:$K$150,"نجح")</f>
        <v>7</v>
      </c>
      <c r="D11" s="20">
        <f>COUNTIFS('حالات الاختبار'!$B$2:$B$150,$A11,'حالات الاختبار'!$K$2:$K$150,"فشل")</f>
        <v>0</v>
      </c>
      <c r="E11" s="20">
        <f>COUNTIFS('حالات الاختبار'!$B$2:$B$150,$A11,'حالات الاختبار'!$K$2:$K$150,"محجوب")</f>
        <v>0</v>
      </c>
      <c r="F11" s="20">
        <f t="shared" si="0"/>
        <v>0</v>
      </c>
      <c r="G11" s="20">
        <f>COUNTIFS('حالات الاختبار'!$B$2:$B$150,$A11,'حالات الاختبار'!$I$2:$I$150,"نعم")</f>
        <v>6</v>
      </c>
      <c r="H11" s="21">
        <f t="shared" si="1"/>
        <v>1</v>
      </c>
      <c r="I11" s="21">
        <f t="shared" si="2"/>
        <v>1</v>
      </c>
    </row>
    <row r="12" spans="1:9" x14ac:dyDescent="0.25">
      <c r="A12" s="19" t="s">
        <v>390</v>
      </c>
      <c r="B12" s="20">
        <f>COUNTIF('حالات الاختبار'!$B$2:$B$150,A12)</f>
        <v>16</v>
      </c>
      <c r="C12" s="20">
        <f>COUNTIFS('حالات الاختبار'!$B$2:$B$150,$A12,'حالات الاختبار'!$K$2:$K$150,"نجح")</f>
        <v>16</v>
      </c>
      <c r="D12" s="20">
        <f>COUNTIFS('حالات الاختبار'!$B$2:$B$150,$A12,'حالات الاختبار'!$K$2:$K$150,"فشل")</f>
        <v>0</v>
      </c>
      <c r="E12" s="20">
        <f>COUNTIFS('حالات الاختبار'!$B$2:$B$150,$A12,'حالات الاختبار'!$K$2:$K$150,"محجوب")</f>
        <v>0</v>
      </c>
      <c r="F12" s="20">
        <f t="shared" si="0"/>
        <v>0</v>
      </c>
      <c r="G12" s="20">
        <f>COUNTIFS('حالات الاختبار'!$B$2:$B$150,$A12,'حالات الاختبار'!$I$2:$I$150,"نعم")</f>
        <v>11</v>
      </c>
      <c r="H12" s="21">
        <f t="shared" si="1"/>
        <v>1</v>
      </c>
      <c r="I12" s="21">
        <f t="shared" si="2"/>
        <v>1</v>
      </c>
    </row>
    <row r="13" spans="1:9" x14ac:dyDescent="0.25">
      <c r="A13" s="19" t="s">
        <v>482</v>
      </c>
      <c r="B13" s="20">
        <f>COUNTIF('حالات الاختبار'!$B$2:$B$150,A13)</f>
        <v>11</v>
      </c>
      <c r="C13" s="20">
        <f>COUNTIFS('حالات الاختبار'!$B$2:$B$150,$A13,'حالات الاختبار'!$K$2:$K$150,"نجح")</f>
        <v>11</v>
      </c>
      <c r="D13" s="20">
        <f>COUNTIFS('حالات الاختبار'!$B$2:$B$150,$A13,'حالات الاختبار'!$K$2:$K$150,"فشل")</f>
        <v>0</v>
      </c>
      <c r="E13" s="20">
        <f>COUNTIFS('حالات الاختبار'!$B$2:$B$150,$A13,'حالات الاختبار'!$K$2:$K$150,"محجوب")</f>
        <v>0</v>
      </c>
      <c r="F13" s="20">
        <f t="shared" si="0"/>
        <v>0</v>
      </c>
      <c r="G13" s="20">
        <f>COUNTIFS('حالات الاختبار'!$B$2:$B$150,$A13,'حالات الاختبار'!$I$2:$I$150,"نعم")</f>
        <v>8</v>
      </c>
      <c r="H13" s="21">
        <f t="shared" si="1"/>
        <v>1</v>
      </c>
      <c r="I13" s="21">
        <f t="shared" si="2"/>
        <v>1</v>
      </c>
    </row>
    <row r="14" spans="1:9" x14ac:dyDescent="0.25">
      <c r="A14" s="19" t="s">
        <v>547</v>
      </c>
      <c r="B14" s="20">
        <f>COUNTIF('حالات الاختبار'!$B$2:$B$150,A14)</f>
        <v>5</v>
      </c>
      <c r="C14" s="20">
        <f>COUNTIFS('حالات الاختبار'!$B$2:$B$150,$A14,'حالات الاختبار'!$K$2:$K$150,"نجح")</f>
        <v>5</v>
      </c>
      <c r="D14" s="20">
        <f>COUNTIFS('حالات الاختبار'!$B$2:$B$150,$A14,'حالات الاختبار'!$K$2:$K$150,"فشل")</f>
        <v>0</v>
      </c>
      <c r="E14" s="20">
        <f>COUNTIFS('حالات الاختبار'!$B$2:$B$150,$A14,'حالات الاختبار'!$K$2:$K$150,"محجوب")</f>
        <v>0</v>
      </c>
      <c r="F14" s="20">
        <f t="shared" si="0"/>
        <v>0</v>
      </c>
      <c r="G14" s="20">
        <f>COUNTIFS('حالات الاختبار'!$B$2:$B$150,$A14,'حالات الاختبار'!$I$2:$I$150,"نعم")</f>
        <v>1</v>
      </c>
      <c r="H14" s="21">
        <f t="shared" si="1"/>
        <v>1</v>
      </c>
      <c r="I14" s="21">
        <f t="shared" si="2"/>
        <v>1</v>
      </c>
    </row>
    <row r="15" spans="1:9" x14ac:dyDescent="0.25">
      <c r="A15" s="19" t="s">
        <v>575</v>
      </c>
      <c r="B15" s="20">
        <f>COUNTIF('حالات الاختبار'!$B$2:$B$150,A15)</f>
        <v>6</v>
      </c>
      <c r="C15" s="20">
        <f>COUNTIFS('حالات الاختبار'!$B$2:$B$150,$A15,'حالات الاختبار'!$K$2:$K$150,"نجح")</f>
        <v>6</v>
      </c>
      <c r="D15" s="20">
        <f>COUNTIFS('حالات الاختبار'!$B$2:$B$150,$A15,'حالات الاختبار'!$K$2:$K$150,"فشل")</f>
        <v>0</v>
      </c>
      <c r="E15" s="20">
        <f>COUNTIFS('حالات الاختبار'!$B$2:$B$150,$A15,'حالات الاختبار'!$K$2:$K$150,"محجوب")</f>
        <v>0</v>
      </c>
      <c r="F15" s="20">
        <f t="shared" si="0"/>
        <v>0</v>
      </c>
      <c r="G15" s="20">
        <f>COUNTIFS('حالات الاختبار'!$B$2:$B$150,$A15,'حالات الاختبار'!$I$2:$I$150,"نعم")</f>
        <v>4</v>
      </c>
      <c r="H15" s="21">
        <f t="shared" si="1"/>
        <v>1</v>
      </c>
      <c r="I15" s="21">
        <f t="shared" si="2"/>
        <v>1</v>
      </c>
    </row>
    <row r="16" spans="1:9" x14ac:dyDescent="0.25">
      <c r="A16" s="19" t="s">
        <v>611</v>
      </c>
      <c r="B16" s="20">
        <f>COUNTIF('حالات الاختبار'!$B$2:$B$150,A16)</f>
        <v>5</v>
      </c>
      <c r="C16" s="20">
        <f>COUNTIFS('حالات الاختبار'!$B$2:$B$150,$A16,'حالات الاختبار'!$K$2:$K$150,"نجح")</f>
        <v>5</v>
      </c>
      <c r="D16" s="20">
        <f>COUNTIFS('حالات الاختبار'!$B$2:$B$150,$A16,'حالات الاختبار'!$K$2:$K$150,"فشل")</f>
        <v>0</v>
      </c>
      <c r="E16" s="20">
        <f>COUNTIFS('حالات الاختبار'!$B$2:$B$150,$A16,'حالات الاختبار'!$K$2:$K$150,"محجوب")</f>
        <v>0</v>
      </c>
      <c r="F16" s="20">
        <f t="shared" si="0"/>
        <v>0</v>
      </c>
      <c r="G16" s="20">
        <f>COUNTIFS('حالات الاختبار'!$B$2:$B$150,$A16,'حالات الاختبار'!$I$2:$I$150,"نعم")</f>
        <v>5</v>
      </c>
      <c r="H16" s="21">
        <f t="shared" si="1"/>
        <v>1</v>
      </c>
      <c r="I16" s="21">
        <f t="shared" si="2"/>
        <v>1</v>
      </c>
    </row>
    <row r="17" spans="1:9" x14ac:dyDescent="0.25">
      <c r="A17" s="19" t="s">
        <v>642</v>
      </c>
      <c r="B17" s="20">
        <f>COUNTIF('حالات الاختبار'!$B$2:$B$150,A17)</f>
        <v>6</v>
      </c>
      <c r="C17" s="20">
        <f>COUNTIFS('حالات الاختبار'!$B$2:$B$150,$A17,'حالات الاختبار'!$K$2:$K$150,"نجح")</f>
        <v>6</v>
      </c>
      <c r="D17" s="20">
        <f>COUNTIFS('حالات الاختبار'!$B$2:$B$150,$A17,'حالات الاختبار'!$K$2:$K$150,"فشل")</f>
        <v>0</v>
      </c>
      <c r="E17" s="20">
        <f>COUNTIFS('حالات الاختبار'!$B$2:$B$150,$A17,'حالات الاختبار'!$K$2:$K$150,"محجوب")</f>
        <v>0</v>
      </c>
      <c r="F17" s="20">
        <f t="shared" si="0"/>
        <v>0</v>
      </c>
      <c r="G17" s="20">
        <f>COUNTIFS('حالات الاختبار'!$B$2:$B$150,$A17,'حالات الاختبار'!$I$2:$I$150,"نعم")</f>
        <v>5</v>
      </c>
      <c r="H17" s="21">
        <f t="shared" si="1"/>
        <v>1</v>
      </c>
      <c r="I17" s="21">
        <f t="shared" si="2"/>
        <v>1</v>
      </c>
    </row>
    <row r="18" spans="1:9" x14ac:dyDescent="0.25">
      <c r="A18" s="19" t="s">
        <v>679</v>
      </c>
      <c r="B18" s="20">
        <f>COUNTIF('حالات الاختبار'!$B$2:$B$150,A18)</f>
        <v>9</v>
      </c>
      <c r="C18" s="20">
        <f>COUNTIFS('حالات الاختبار'!$B$2:$B$150,$A18,'حالات الاختبار'!$K$2:$K$150,"نجح")</f>
        <v>9</v>
      </c>
      <c r="D18" s="20">
        <f>COUNTIFS('حالات الاختبار'!$B$2:$B$150,$A18,'حالات الاختبار'!$K$2:$K$150,"فشل")</f>
        <v>0</v>
      </c>
      <c r="E18" s="20">
        <f>COUNTIFS('حالات الاختبار'!$B$2:$B$150,$A18,'حالات الاختبار'!$K$2:$K$150,"محجوب")</f>
        <v>0</v>
      </c>
      <c r="F18" s="20">
        <f t="shared" si="0"/>
        <v>0</v>
      </c>
      <c r="G18" s="20">
        <f>COUNTIFS('حالات الاختبار'!$B$2:$B$150,$A18,'حالات الاختبار'!$I$2:$I$150,"نعم")</f>
        <v>6</v>
      </c>
      <c r="H18" s="21">
        <f t="shared" si="1"/>
        <v>1</v>
      </c>
      <c r="I18" s="21">
        <f t="shared" si="2"/>
        <v>1</v>
      </c>
    </row>
    <row r="19" spans="1:9" x14ac:dyDescent="0.25">
      <c r="A19" s="19" t="s">
        <v>732</v>
      </c>
      <c r="B19" s="20">
        <f>COUNTIF('حالات الاختبار'!$B$2:$B$150,A19)</f>
        <v>2</v>
      </c>
      <c r="C19" s="20">
        <f>COUNTIFS('حالات الاختبار'!$B$2:$B$150,$A19,'حالات الاختبار'!$K$2:$K$150,"نجح")</f>
        <v>2</v>
      </c>
      <c r="D19" s="20">
        <f>COUNTIFS('حالات الاختبار'!$B$2:$B$150,$A19,'حالات الاختبار'!$K$2:$K$150,"فشل")</f>
        <v>0</v>
      </c>
      <c r="E19" s="20">
        <f>COUNTIFS('حالات الاختبار'!$B$2:$B$150,$A19,'حالات الاختبار'!$K$2:$K$150,"محجوب")</f>
        <v>0</v>
      </c>
      <c r="F19" s="20">
        <f t="shared" si="0"/>
        <v>0</v>
      </c>
      <c r="G19" s="20">
        <f>COUNTIFS('حالات الاختبار'!$B$2:$B$150,$A19,'حالات الاختبار'!$I$2:$I$150,"نعم")</f>
        <v>0</v>
      </c>
      <c r="H19" s="21">
        <f t="shared" si="1"/>
        <v>1</v>
      </c>
      <c r="I19" s="21">
        <f t="shared" si="2"/>
        <v>1</v>
      </c>
    </row>
    <row r="20" spans="1:9" x14ac:dyDescent="0.25">
      <c r="A20" s="19" t="s">
        <v>743</v>
      </c>
      <c r="B20" s="20">
        <f>COUNTIF('حالات الاختبار'!$B$2:$B$150,A20)</f>
        <v>9</v>
      </c>
      <c r="C20" s="20">
        <f>COUNTIFS('حالات الاختبار'!$B$2:$B$150,$A20,'حالات الاختبار'!$K$2:$K$150,"نجح")</f>
        <v>8</v>
      </c>
      <c r="D20" s="20">
        <f>COUNTIFS('حالات الاختبار'!$B$2:$B$150,$A20,'حالات الاختبار'!$K$2:$K$150,"فشل")</f>
        <v>0</v>
      </c>
      <c r="E20" s="20">
        <f>COUNTIFS('حالات الاختبار'!$B$2:$B$150,$A20,'حالات الاختبار'!$K$2:$K$150,"محجوب")</f>
        <v>1</v>
      </c>
      <c r="F20" s="20">
        <f t="shared" si="0"/>
        <v>0</v>
      </c>
      <c r="G20" s="20">
        <f>COUNTIFS('حالات الاختبار'!$B$2:$B$150,$A20,'حالات الاختبار'!$I$2:$I$150,"نعم")</f>
        <v>6</v>
      </c>
      <c r="H20" s="21">
        <f t="shared" si="1"/>
        <v>1</v>
      </c>
      <c r="I20" s="21">
        <f t="shared" si="2"/>
        <v>1</v>
      </c>
    </row>
    <row r="21" spans="1:9" x14ac:dyDescent="0.25">
      <c r="A21" s="19" t="s">
        <v>795</v>
      </c>
      <c r="B21" s="20">
        <f>COUNTIF('حالات الاختبار'!$B$2:$B$150,A21)</f>
        <v>4</v>
      </c>
      <c r="C21" s="20">
        <f>COUNTIFS('حالات الاختبار'!$B$2:$B$150,$A21,'حالات الاختبار'!$K$2:$K$150,"نجح")</f>
        <v>3</v>
      </c>
      <c r="D21" s="20">
        <f>COUNTIFS('حالات الاختبار'!$B$2:$B$150,$A21,'حالات الاختبار'!$K$2:$K$150,"فشل")</f>
        <v>0</v>
      </c>
      <c r="E21" s="20">
        <f>COUNTIFS('حالات الاختبار'!$B$2:$B$150,$A21,'حالات الاختبار'!$K$2:$K$150,"محجوب")</f>
        <v>1</v>
      </c>
      <c r="F21" s="20">
        <f t="shared" si="0"/>
        <v>0</v>
      </c>
      <c r="G21" s="20">
        <f>COUNTIFS('حالات الاختبار'!$B$2:$B$150,$A21,'حالات الاختبار'!$I$2:$I$150,"نعم")</f>
        <v>0</v>
      </c>
      <c r="H21" s="21">
        <f t="shared" si="1"/>
        <v>1</v>
      </c>
      <c r="I21" s="21">
        <f t="shared" si="2"/>
        <v>1</v>
      </c>
    </row>
    <row r="22" spans="1:9" x14ac:dyDescent="0.25">
      <c r="A22" s="19" t="s">
        <v>816</v>
      </c>
      <c r="B22" s="20">
        <f>COUNTIF('حالات الاختبار'!$B$2:$B$150,A22)</f>
        <v>7</v>
      </c>
      <c r="C22" s="20">
        <f>COUNTIFS('حالات الاختبار'!$B$2:$B$150,$A22,'حالات الاختبار'!$K$2:$K$150,"نجح")</f>
        <v>6</v>
      </c>
      <c r="D22" s="20">
        <f>COUNTIFS('حالات الاختبار'!$B$2:$B$150,$A22,'حالات الاختبار'!$K$2:$K$150,"فشل")</f>
        <v>0</v>
      </c>
      <c r="E22" s="20">
        <f>COUNTIFS('حالات الاختبار'!$B$2:$B$150,$A22,'حالات الاختبار'!$K$2:$K$150,"محجوب")</f>
        <v>1</v>
      </c>
      <c r="F22" s="20">
        <f t="shared" si="0"/>
        <v>0</v>
      </c>
      <c r="G22" s="20">
        <f>COUNTIFS('حالات الاختبار'!$B$2:$B$150,$A22,'حالات الاختبار'!$I$2:$I$150,"نعم")</f>
        <v>0</v>
      </c>
      <c r="H22" s="21">
        <f t="shared" si="1"/>
        <v>1</v>
      </c>
      <c r="I22" s="21">
        <f t="shared" si="2"/>
        <v>1</v>
      </c>
    </row>
    <row r="23" spans="1:9" x14ac:dyDescent="0.25">
      <c r="A23" s="19" t="s">
        <v>855</v>
      </c>
      <c r="B23" s="20">
        <f>COUNTIF('حالات الاختبار'!$B$2:$B$150,A23)</f>
        <v>5</v>
      </c>
      <c r="C23" s="20">
        <f>COUNTIFS('حالات الاختبار'!$B$2:$B$150,$A23,'حالات الاختبار'!$K$2:$K$150,"نجح")</f>
        <v>4</v>
      </c>
      <c r="D23" s="20">
        <f>COUNTIFS('حالات الاختبار'!$B$2:$B$150,$A23,'حالات الاختبار'!$K$2:$K$150,"فشل")</f>
        <v>1</v>
      </c>
      <c r="E23" s="20">
        <f>COUNTIFS('حالات الاختبار'!$B$2:$B$150,$A23,'حالات الاختبار'!$K$2:$K$150,"محجوب")</f>
        <v>0</v>
      </c>
      <c r="F23" s="20">
        <f t="shared" si="0"/>
        <v>0</v>
      </c>
      <c r="G23" s="20">
        <f>COUNTIFS('حالات الاختبار'!$B$2:$B$150,$A23,'حالات الاختبار'!$I$2:$I$150,"نعم")</f>
        <v>5</v>
      </c>
      <c r="H23" s="21">
        <f t="shared" si="1"/>
        <v>1</v>
      </c>
      <c r="I23" s="21">
        <f t="shared" si="2"/>
        <v>0.8</v>
      </c>
    </row>
    <row r="24" spans="1:9" x14ac:dyDescent="0.25">
      <c r="A24" s="19" t="s">
        <v>885</v>
      </c>
      <c r="B24" s="20">
        <f>COUNTIF('حالات الاختبار'!$B$2:$B$150,A24)</f>
        <v>4</v>
      </c>
      <c r="C24" s="20">
        <f>COUNTIFS('حالات الاختبار'!$B$2:$B$150,$A24,'حالات الاختبار'!$K$2:$K$150,"نجح")</f>
        <v>4</v>
      </c>
      <c r="D24" s="20">
        <f>COUNTIFS('حالات الاختبار'!$B$2:$B$150,$A24,'حالات الاختبار'!$K$2:$K$150,"فشل")</f>
        <v>0</v>
      </c>
      <c r="E24" s="20">
        <f>COUNTIFS('حالات الاختبار'!$B$2:$B$150,$A24,'حالات الاختبار'!$K$2:$K$150,"محجوب")</f>
        <v>0</v>
      </c>
      <c r="F24" s="20">
        <f t="shared" si="0"/>
        <v>0</v>
      </c>
      <c r="G24" s="20">
        <f>COUNTIFS('حالات الاختبار'!$B$2:$B$150,$A24,'حالات الاختبار'!$I$2:$I$150,"نعم")</f>
        <v>4</v>
      </c>
      <c r="H24" s="21">
        <f t="shared" si="1"/>
        <v>1</v>
      </c>
      <c r="I24" s="21">
        <f t="shared" si="2"/>
        <v>1</v>
      </c>
    </row>
    <row r="25" spans="1:9" x14ac:dyDescent="0.25">
      <c r="A25" s="22" t="s">
        <v>977</v>
      </c>
      <c r="B25" s="23">
        <f t="shared" ref="B25:G25" si="3">SUM(B5:B24)</f>
        <v>149</v>
      </c>
      <c r="C25" s="23">
        <f t="shared" si="3"/>
        <v>144</v>
      </c>
      <c r="D25" s="23">
        <f t="shared" si="3"/>
        <v>1</v>
      </c>
      <c r="E25" s="23">
        <f t="shared" si="3"/>
        <v>4</v>
      </c>
      <c r="F25" s="23">
        <f t="shared" si="3"/>
        <v>0</v>
      </c>
      <c r="G25" s="23">
        <f t="shared" si="3"/>
        <v>101</v>
      </c>
      <c r="H25" s="24">
        <f t="shared" si="1"/>
        <v>1</v>
      </c>
      <c r="I25" s="24">
        <f t="shared" si="2"/>
        <v>0.99310344827586206</v>
      </c>
    </row>
    <row r="28" spans="1:9" ht="15.75" x14ac:dyDescent="0.25">
      <c r="A28" s="6" t="s">
        <v>978</v>
      </c>
    </row>
    <row r="29" spans="1:9" x14ac:dyDescent="0.25">
      <c r="A29" s="18" t="s">
        <v>7</v>
      </c>
      <c r="B29" s="18" t="s">
        <v>914</v>
      </c>
      <c r="C29" s="18" t="s">
        <v>24</v>
      </c>
      <c r="D29" s="18" t="s">
        <v>876</v>
      </c>
      <c r="E29" s="18" t="s">
        <v>974</v>
      </c>
    </row>
    <row r="30" spans="1:9" x14ac:dyDescent="0.25">
      <c r="A30" s="20" t="s">
        <v>21</v>
      </c>
      <c r="B30" s="20">
        <f>COUNTIF('حالات الاختبار'!$H$2:$H$150,A30)</f>
        <v>81</v>
      </c>
      <c r="C30" s="20">
        <f>COUNTIFS('حالات الاختبار'!$H$2:$H$150,$A30,'حالات الاختبار'!$K$2:$K$150,"نجح")</f>
        <v>80</v>
      </c>
      <c r="D30" s="20">
        <f>COUNTIFS('حالات الاختبار'!$H$2:$H$150,$A30,'حالات الاختبار'!$K$2:$K$150,"فشل")</f>
        <v>0</v>
      </c>
      <c r="E30" s="20">
        <f>COUNTIFS('حالات الاختبار'!$H$2:$H$150,$A30,'حالات الاختبار'!$K$2:$K$150,"لم يُختبر")</f>
        <v>0</v>
      </c>
    </row>
    <row r="31" spans="1:9" x14ac:dyDescent="0.25">
      <c r="A31" s="20" t="s">
        <v>38</v>
      </c>
      <c r="B31" s="20">
        <f>COUNTIF('حالات الاختبار'!$H$2:$H$150,A31)</f>
        <v>56</v>
      </c>
      <c r="C31" s="20">
        <f>COUNTIFS('حالات الاختبار'!$H$2:$H$150,$A31,'حالات الاختبار'!$K$2:$K$150,"نجح")</f>
        <v>53</v>
      </c>
      <c r="D31" s="20">
        <f>COUNTIFS('حالات الاختبار'!$H$2:$H$150,$A31,'حالات الاختبار'!$K$2:$K$150,"فشل")</f>
        <v>1</v>
      </c>
      <c r="E31" s="20">
        <f>COUNTIFS('حالات الاختبار'!$H$2:$H$150,$A31,'حالات الاختبار'!$K$2:$K$150,"لم يُختبر")</f>
        <v>0</v>
      </c>
    </row>
    <row r="32" spans="1:9" x14ac:dyDescent="0.25">
      <c r="A32" s="20" t="s">
        <v>80</v>
      </c>
      <c r="B32" s="20">
        <f>COUNTIF('حالات الاختبار'!$H$2:$H$150,A32)</f>
        <v>12</v>
      </c>
      <c r="C32" s="20">
        <f>COUNTIFS('حالات الاختبار'!$H$2:$H$150,$A32,'حالات الاختبار'!$K$2:$K$150,"نجح")</f>
        <v>11</v>
      </c>
      <c r="D32" s="20">
        <f>COUNTIFS('حالات الاختبار'!$H$2:$H$150,$A32,'حالات الاختبار'!$K$2:$K$150,"فشل")</f>
        <v>0</v>
      </c>
      <c r="E32" s="20">
        <f>COUNTIFS('حالات الاختبار'!$H$2:$H$150,$A32,'حالات الاختبار'!$K$2:$K$150,"لم يُختبر")</f>
        <v>0</v>
      </c>
    </row>
    <row r="34" spans="1:1" x14ac:dyDescent="0.25">
      <c r="A34" s="25" t="s">
        <v>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دليل الاستخدام</vt:lpstr>
      <vt:lpstr>حالات الاختبار</vt:lpstr>
      <vt:lpstr>الملخص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Al-Sayyed</cp:lastModifiedBy>
  <dcterms:created xsi:type="dcterms:W3CDTF">2026-10-26T11:27:37Z</dcterms:created>
  <dcterms:modified xsi:type="dcterms:W3CDTF">2026-10-26T11:28:31Z</dcterms:modified>
</cp:coreProperties>
</file>